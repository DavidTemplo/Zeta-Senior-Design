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66925"/>
  <mc:AlternateContent xmlns:mc="http://schemas.openxmlformats.org/markup-compatibility/2006">
    <mc:Choice Requires="x15">
      <x15ac:absPath xmlns:x15ac="http://schemas.microsoft.com/office/spreadsheetml/2010/11/ac" url="https://colostate-my.sharepoint.com/personal/ethanle_colostate_edu/Documents/"/>
    </mc:Choice>
  </mc:AlternateContent>
  <xr:revisionPtr revIDLastSave="0" documentId="8_{8BB5FAE7-C8F4-47B8-B95F-7DC56458C550}" xr6:coauthVersionLast="47" xr6:coauthVersionMax="47" xr10:uidLastSave="{00000000-0000-0000-0000-000000000000}"/>
  <bookViews>
    <workbookView xWindow="-98" yWindow="-98" windowWidth="21795" windowHeight="13875" firstSheet="10" activeTab="10" xr2:uid="{CA9DA07E-97FE-4A96-A67C-197429CAED09}"/>
  </bookViews>
  <sheets>
    <sheet name="Purchasing REAL" sheetId="8" r:id="rId1"/>
    <sheet name="Example and Template" sheetId="1" r:id="rId2"/>
    <sheet name="Purchasing" sheetId="6" r:id="rId3"/>
    <sheet name="9-10-2025" sheetId="4" r:id="rId4"/>
    <sheet name="9-17-2025" sheetId="5" r:id="rId5"/>
    <sheet name="9-24-2025" sheetId="7" r:id="rId6"/>
    <sheet name="10-13-2025" sheetId="9" r:id="rId7"/>
    <sheet name="10-20-2025" sheetId="10" r:id="rId8"/>
    <sheet name="10-27-2025" sheetId="11" r:id="rId9"/>
    <sheet name="11-3-2025 " sheetId="12" r:id="rId10"/>
    <sheet name="11-10-2025" sheetId="13"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6" l="1"/>
</calcChain>
</file>

<file path=xl/sharedStrings.xml><?xml version="1.0" encoding="utf-8"?>
<sst xmlns="http://schemas.openxmlformats.org/spreadsheetml/2006/main" count="405" uniqueCount="173">
  <si>
    <t>Item</t>
  </si>
  <si>
    <t>Purpose</t>
  </si>
  <si>
    <t>Price</t>
  </si>
  <si>
    <t>Product Link</t>
  </si>
  <si>
    <t>Purchased?</t>
  </si>
  <si>
    <t>Delivered?</t>
  </si>
  <si>
    <t>Raspberry Pi 5</t>
  </si>
  <si>
    <t>SBC to collect data from SDR and magnetometer to store in the SSD</t>
  </si>
  <si>
    <t>DigiKey</t>
  </si>
  <si>
    <t>N</t>
  </si>
  <si>
    <t>Heatsink + Fan</t>
  </si>
  <si>
    <t>To prevent RaspPi from overheating</t>
  </si>
  <si>
    <t>amazon</t>
  </si>
  <si>
    <t>n</t>
  </si>
  <si>
    <t>Memory Storage</t>
  </si>
  <si>
    <t>SSD or SD card</t>
  </si>
  <si>
    <t>To store heatmap</t>
  </si>
  <si>
    <t>Amazon</t>
  </si>
  <si>
    <t>SSD</t>
  </si>
  <si>
    <t>Storage of data</t>
  </si>
  <si>
    <t>Directionality</t>
  </si>
  <si>
    <t>Magnetometer</t>
  </si>
  <si>
    <t>What we'll use for orientation to pair with the signal strength when processing signal</t>
  </si>
  <si>
    <t>Digital Compass + GNSS</t>
  </si>
  <si>
    <t>Matek</t>
  </si>
  <si>
    <t>SDR OPTIONS</t>
  </si>
  <si>
    <t>USPR B210</t>
  </si>
  <si>
    <t>We chose against this one because we will only focus on 915MHz for sure and MAYBE the 2.4GHz band. The added capabilities does not justify the cost</t>
  </si>
  <si>
    <t>ettus</t>
  </si>
  <si>
    <t>Lime SDR</t>
  </si>
  <si>
    <t>We chose this one not only because of price but because of its compact and light footpring</t>
  </si>
  <si>
    <t>limesdr</t>
  </si>
  <si>
    <t>BEACON OPTIONS</t>
  </si>
  <si>
    <t>LoRa Beacon</t>
  </si>
  <si>
    <t>ESP32 integrated with a LoRa module. Program with Ardiuno IDE. Max TX 21dBm. REASONING: CHEAPER JUST NEED A SIGNAL TO DETECT</t>
  </si>
  <si>
    <t>Heltec</t>
  </si>
  <si>
    <t>Adafruit M0</t>
  </si>
  <si>
    <t xml:space="preserve">Microcontroller and LoRa module. Max TX </t>
  </si>
  <si>
    <t>adafruit</t>
  </si>
  <si>
    <t>Antennas</t>
  </si>
  <si>
    <t>Dipole Antenna 915Mhz 3X</t>
  </si>
  <si>
    <t>To transmit/recieve beacon signal. REASONING: EASIER TO CALIBRATE FOR AOA AND NO NEED TO FIDDLE WITH GROUND PLANE</t>
  </si>
  <si>
    <t>RadioMaster</t>
  </si>
  <si>
    <t>Dipole Antenna 915Mhz</t>
  </si>
  <si>
    <t>To transmit/recieve beacon signal</t>
  </si>
  <si>
    <t>pyrodrone</t>
  </si>
  <si>
    <t>Quater Wave Monopole</t>
  </si>
  <si>
    <t>To recieve beacon signal 4.2dBi</t>
  </si>
  <si>
    <t>Digikey</t>
  </si>
  <si>
    <t>To recieve beacon signal 2.7dBi</t>
  </si>
  <si>
    <t>GetFPV</t>
  </si>
  <si>
    <t xml:space="preserve"> </t>
  </si>
  <si>
    <t>BATTERY</t>
  </si>
  <si>
    <t>Power Bank 10000mAh Portable Charger Slim External Battery Pack with 2 USB 2.4A Outputs and USB C In/Out</t>
  </si>
  <si>
    <t>To power beacon. REASONING: USBC POWERBANK &gt; LIPO FOR SAFETY</t>
  </si>
  <si>
    <t>6s 2200 mAH LiPo</t>
  </si>
  <si>
    <t>Battery to power entire system</t>
  </si>
  <si>
    <t>22,000 mAh batt pack</t>
  </si>
  <si>
    <t>Ethan's Closet</t>
  </si>
  <si>
    <t>RF COMPONENTS</t>
  </si>
  <si>
    <t>BP filter</t>
  </si>
  <si>
    <t>Filter out noise 	902 MHz to 928 MHz</t>
  </si>
  <si>
    <t>Mouser</t>
  </si>
  <si>
    <t>BP filter: ZX75BP-942-S+
Ceramic Resonator Band Pass Filter, 875 - 1010 MHz, 50Ω
Connector Type: SMA</t>
  </si>
  <si>
    <t>Filter out noise 875 - 1010 MHz. REASONING: MORE RELIABLE FILTERING. BUDGET ALLOWS.</t>
  </si>
  <si>
    <t>minicircuits</t>
  </si>
  <si>
    <t>BP filter: VBFZ-925-S+
Connectorized Band Pass Filter, 800-1050 MHz
Connector Type: SMA</t>
  </si>
  <si>
    <t>Filter out noise 800 - 1050MHz</t>
  </si>
  <si>
    <t>Attenuator</t>
  </si>
  <si>
    <t>Protect SDR</t>
  </si>
  <si>
    <t>Protect SDR -10dBi. REASONING; MORE RELIABLE ATTENUATION. BUDGET ALLOWS.</t>
  </si>
  <si>
    <t>Protect SDR-5dBi</t>
  </si>
  <si>
    <t>LNA: ZFL-1000LN+
Connectorized SMA, Low Noise, Linear Amplifier, 0.1 MHz to 1000 MHz, 50Ω
Connector Type: SMA</t>
  </si>
  <si>
    <t>Improve SNR</t>
  </si>
  <si>
    <t>LNA: ZEL-0812LN
Connectorized SMA, Low Noise, Linear Amplifier, 800 MHz to 1200 MHz, 50Ω
Connector Type: SMA</t>
  </si>
  <si>
    <t>CONNECTORS</t>
  </si>
  <si>
    <t>SMA Connector Kit</t>
  </si>
  <si>
    <t>Kit for connecting all the different antennas at different configurations</t>
  </si>
  <si>
    <t>M to F SMA</t>
  </si>
  <si>
    <t>To connect antennas to SDR. Also for beacon to Antenna</t>
  </si>
  <si>
    <t>RP-SMA to U.FL 3X</t>
  </si>
  <si>
    <t>Connection to antenna 200mm. REASONING: Cheaper and longer cable for more flexibility in mounting</t>
  </si>
  <si>
    <t>RP-SMA to U.FL</t>
  </si>
  <si>
    <t>Connection to antenna 152.4mm</t>
  </si>
  <si>
    <t>FILAMENT</t>
  </si>
  <si>
    <t>PETG SPOOL 1KG</t>
  </si>
  <si>
    <t>TO SUPPORT PAYLOAD AND HOUSE BEACON</t>
  </si>
  <si>
    <t>Team Member</t>
  </si>
  <si>
    <t>High level objective</t>
  </si>
  <si>
    <t>Planned Duration</t>
  </si>
  <si>
    <t>Planned
Total Work for Week</t>
  </si>
  <si>
    <t>Results and Acutal Duration</t>
  </si>
  <si>
    <t>Actual
Total Work for Week</t>
  </si>
  <si>
    <t>Ethan Le</t>
  </si>
  <si>
    <t>David Templonuevo</t>
  </si>
  <si>
    <t>Come to Team meeting with written plan for the week 
Clear Measureable Results - What will you get done 
Usually tied to WBS tasks and schedule</t>
  </si>
  <si>
    <t>Break tasks down and give more detail here</t>
  </si>
  <si>
    <t>Total planned work should meet your "Contract"</t>
  </si>
  <si>
    <t>Come to weekly team meeting with written results
What actually got done - (Measurable!)  Where is the result?   How long did it actually take.   
Sometimes actual work differs from plans (and this is ok)</t>
  </si>
  <si>
    <t>Total actual work should meet your "Contract"</t>
  </si>
  <si>
    <t>HolyBro X500 V2</t>
  </si>
  <si>
    <t>Frame kit, flight controller, and where payload will be mounted</t>
  </si>
  <si>
    <t>drUAV</t>
  </si>
  <si>
    <t>Current Total</t>
  </si>
  <si>
    <t>Spare Propellers</t>
  </si>
  <si>
    <t>In case of crashing</t>
  </si>
  <si>
    <t>Jetson Nano</t>
  </si>
  <si>
    <t>Single Board Computer for ML model as well as sending signals to FC for autonomous flight</t>
  </si>
  <si>
    <t>Transmitter</t>
  </si>
  <si>
    <t>In case CSU Drone Center can't supply a radio transmitter</t>
  </si>
  <si>
    <t>Directional Antennae (Yagi?)</t>
  </si>
  <si>
    <t>no</t>
  </si>
  <si>
    <t>Patch Antenna</t>
  </si>
  <si>
    <t>yes</t>
  </si>
  <si>
    <t>Filter out noise</t>
  </si>
  <si>
    <t>Cooling Solution for SOC??</t>
  </si>
  <si>
    <t>ESP32 integrated with a LoRa module</t>
  </si>
  <si>
    <t>Dipole Antenna</t>
  </si>
  <si>
    <t>To transmit beacon signal</t>
  </si>
  <si>
    <t>1s Lipo</t>
  </si>
  <si>
    <t>To power beacon</t>
  </si>
  <si>
    <t>SMA F-M</t>
  </si>
  <si>
    <t>Connecting and mount antennas</t>
  </si>
  <si>
    <t>LNA??</t>
  </si>
  <si>
    <t>Filament PLA+</t>
  </si>
  <si>
    <t>To house the beacon and support payload</t>
  </si>
  <si>
    <t xml:space="preserve">Talk to Jason and discuss ordering everything. Set up meeting with EIR. Look into a beacon for drone 2.4Ghz. </t>
  </si>
  <si>
    <t xml:space="preserve">2 hrs - Create a part list with links to everything I want.       2 hrs - Research different directional antennas and compability with SDR and desired F band                         </t>
  </si>
  <si>
    <t>4hr</t>
  </si>
  <si>
    <t>Made preliminary parts list about items we need. Started drafting block diagram</t>
  </si>
  <si>
    <t>Attend I2P 3D printing training                           Start drone build plan</t>
  </si>
  <si>
    <t>1.5 hrs - Learn how to use 3d printer                                      3 hrs - Research drone parts and gain clearance for in-campus drone flight                                                               2 hrs - Research how to send control signals from microcontroller to flight controller</t>
  </si>
  <si>
    <t>x - Family Emergency on Thursday, need to reschedule I2P training                                                                                                          3hrs - Spoke with Drone Center about requirements based on Dr Fritz's email. Decided on securing a DIY drone                                        2hrs - Depending on flight controller, our SBC can use a spare telemetry port to transmit flight control signals to.</t>
  </si>
  <si>
    <t>5 hrs</t>
  </si>
  <si>
    <t>Finish parts, meet with Jason to dicuss part compatibility, order everything after Friday meeting. Start researching algorithms and methods for source localization.</t>
  </si>
  <si>
    <t>4 Hrs Meeting with Zeta to discuss project direction. Considering directional localization for project. Confirmed the new drone specs</t>
  </si>
  <si>
    <t>1.5 hr - Met with Jason. Rescoping project to fit requirements.      2 hr - Meet with EIR to talk about project direction</t>
  </si>
  <si>
    <t xml:space="preserve">Secure funds, Continue researching drone parts,   Meet with Jason, Finalize website, </t>
  </si>
  <si>
    <t xml:space="preserve">1 hr - Check in with Olivera about where the funds are                 2 hrs - Meet w/ Jason on Friday, Meet w/ Matt on Monday                                                1 hr - Attach docs to website and upload to T drive                    </t>
  </si>
  <si>
    <t xml:space="preserve">1.5 hr - Meeting with Jason. Project re-scoped to shift focus away from autonomous flight.                                                            1 hr - Uploaded index.html to senior design folder, website is up    </t>
  </si>
  <si>
    <t>Finish Block Diagram</t>
  </si>
  <si>
    <t>1.5 - Redo RF components for AoA. Research compatitble components and connections for each to add into a visual block diagram                                                    1.5 - Drafted a spreadsheet with all parts to send out for approval from Zeta</t>
  </si>
  <si>
    <t>Meet with Zeta associates and confirmed actionable items. Meeted with Zeta in person to discuss design choices. Finished parts list and block diagram to send out.</t>
  </si>
  <si>
    <t>Finish Block Diagram                                  Research modulation scheme (CSS) from beacon to SDR</t>
  </si>
  <si>
    <t>1 hr - finished block diagram flow from SDR -&gt; Ground station                                                                                  2 hr - Look into different mod schemes for LoRa -&gt; SDR</t>
  </si>
  <si>
    <t>1.5 hrs - Had to create different options for transmitting telemetry from the Jetson to ground station                                                                   1.5 hrs - Chirp Spread Spectrum (CSS) is really the only one that makes sense for our implementation</t>
  </si>
  <si>
    <t>Starting next week(9/29), WWP will be update on Mondays instead of Wednesdays</t>
  </si>
  <si>
    <t>This week/workload will be shorter due to this change</t>
  </si>
  <si>
    <t>Begin purchase of components</t>
  </si>
  <si>
    <t>Research and answer back to zeta e-mails, re-do purchasing list</t>
  </si>
  <si>
    <t>Finalized purchasing sheet. Selected components relavent to 915MHz. Discussed with EIR and Zeta Mentors about link budget, and design choices. Communicated between project mentors to confirm the direction of our project.</t>
  </si>
  <si>
    <t>Verify parts compatibility,                                                                  e-mail zeta about purchasing critical components,                  draft testing document</t>
  </si>
  <si>
    <t>Researched digital compass &lt;-&gt; SBC connections, it should work if we use the UARTs on the pi (3)                                                                            E-mailed Zeta + EIR mentor about components that we all agree are important (1)</t>
  </si>
  <si>
    <t>Waiting for parts and meet with Zeta</t>
  </si>
  <si>
    <t>2hr - Revisitng ordering sheet and confirm funds have been transfered                                                                        2hr - Plan meetings with EiR and Zeta to discuss RF design for signal detection</t>
  </si>
  <si>
    <t>Coordinated with Zeta to check in on progress. Meet with Jason and Jim to discuss project deliiverables. (1)                                           Meet with Jim on Saturday to discuss techinical details and hardware constraints. Disussed signal detection theory, radiation theory, and revised methods due to hardware restrictions (4).</t>
  </si>
  <si>
    <t>2 - Verify parts compatibility,                                                                  1 - e-mail zeta about purchasing critical components,                  draft testing document                                                             1 - Have meeting with Jim on Saturday (10/28)</t>
  </si>
  <si>
    <t>Researched digital compass &lt;-&gt; SBC connections, it should work if we use the UARTs on the pi (3)                                                                            E-mailed Zeta + EIR mentor about components that we all agree are important (1)                                                                                           Jim meeting (4)</t>
  </si>
  <si>
    <t>Work on DTVC doc and secure funds for purchasing</t>
  </si>
  <si>
    <t>(2) Talk to Zeta, Oliveria, Hein, Chandra, and Elaine to secure funds and test equipment. Will need a Spectrum analyzer and VNA to verify signal integrity and antenna reliability                                                            (2) Work on DTVC doc</t>
  </si>
  <si>
    <t>(1) Looking for Hein and Oliveria (not found). Spoke with Chandra and Elaine, found equipment and set up meeting to learn how to use equipment                                                                                               (2) Designed user and validation tests for proposed requirements. (1) Meet with Olivera and Hein and discussed logistics of securing funds. Got the OK to begin purchasing</t>
  </si>
  <si>
    <t>(2) worked on skeleton of DTVC doc, lined out sys and usr reqs                                                                                                                                               (2) walked/talked w/ Ethan to help secure funds</t>
  </si>
  <si>
    <r>
      <t xml:space="preserve">(1) same as Ethan's above, got introduced to test eqpt by Elaine                                                                                         (2) Wrote cover letter and the </t>
    </r>
    <r>
      <rPr>
        <b/>
        <sz val="10"/>
        <color theme="1"/>
        <rFont val="Calibri"/>
        <family val="2"/>
        <scheme val="minor"/>
      </rPr>
      <t>why</t>
    </r>
    <r>
      <rPr>
        <sz val="10"/>
        <color theme="1"/>
        <rFont val="Calibri"/>
        <family val="2"/>
        <scheme val="minor"/>
      </rPr>
      <t xml:space="preserve"> of the DTVC doc. Researched realistic numbers for the system reqs </t>
    </r>
  </si>
  <si>
    <t>Worked on purhcasing sheet</t>
  </si>
  <si>
    <t>(2) Put together initial purchasing documents for benchtop tests. Sent out form for approval and emailed Olivera about IP forms with Zeta for fund transfer</t>
  </si>
  <si>
    <t xml:space="preserve">(2) Drafted purchasing document and submittted a request for parts. Briefly meet with Matt and updated him about progress. </t>
  </si>
  <si>
    <t xml:space="preserve">Prep for testing </t>
  </si>
  <si>
    <t>(3) Research how to make the system robust to the USR1, 2, and 4 tests                                                                                                  (1) fill out V-diagrams for the USR requirements                                   (1) track and pick up order once it comes in</t>
  </si>
  <si>
    <t xml:space="preserve">(1) Meetings with Zeta and Matt Heath (EIR Mentor)                                                        (1) Submitted DTVC docs                                                                                               </t>
  </si>
  <si>
    <t>(0.5) Meeting with Matt Heath                                                            (1) Learning how to use VNA with Chuck</t>
  </si>
  <si>
    <t>Get Raspi booted and download LimeSDR Drivers</t>
  </si>
  <si>
    <t>(1) Download bootloader onto the SSD               (1) Download drivers from LimeSDR Documentation</t>
  </si>
  <si>
    <t>(0.5) Meeting with Matt Heath                                                          (1) Learning how to use VNA with Chuck                                       (2) Downloading LimeSDR Drivers to raspi, took a little longer because had to do this manually                                                                     (2.5) Researched simulated signals to work on pipelining data. Talked about how to design the housing for system (distancing power supply from 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</si>
</sst>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_([$$-409]* #,##0.00_);_([$$-409]* \(#,##0.00\);_([$$-409]* &quot;-&quot;??_);_(@_)"/>
  </numFmts>
  <fonts count="22">
    <font>
      <sz val="11"/>
      <color theme="1"/>
      <name val="Calibri"/>
      <family val="2"/>
      <scheme val="minor"/>
    </font>
    <font>
      <sz val="11"/>
      <color theme="1"/>
      <name val="Calibri"/>
      <scheme val="minor"/>
    </font>
    <font>
      <b/>
      <sz val="11"/>
      <color theme="1"/>
      <name val="Calibri"/>
      <family val="2"/>
      <scheme val="minor"/>
    </font>
    <font>
      <sz val="10"/>
      <color theme="1"/>
      <name val="Arial"/>
      <family val="2"/>
    </font>
    <font>
      <sz val="10"/>
      <name val="Arial"/>
      <family val="2"/>
    </font>
    <font>
      <b/>
      <sz val="10"/>
      <color theme="1"/>
      <name val="Arial"/>
      <family val="2"/>
    </font>
    <font>
      <u/>
      <sz val="11"/>
      <color theme="10"/>
      <name val="Calibri"/>
      <family val="2"/>
      <scheme val="minor"/>
    </font>
    <font>
      <sz val="11"/>
      <color rgb="FF000000"/>
      <name val="Calibri"/>
      <family val="2"/>
      <scheme val="minor"/>
    </font>
    <font>
      <b/>
      <sz val="11"/>
      <color rgb="FFFF0000"/>
      <name val="Calibri"/>
      <family val="2"/>
      <scheme val="minor"/>
    </font>
    <font>
      <sz val="12"/>
      <color rgb="FF333333"/>
      <name val="Calibri"/>
      <scheme val="minor"/>
    </font>
    <font>
      <sz val="12"/>
      <color rgb="FF000000"/>
      <name val="Calibri"/>
      <scheme val="minor"/>
    </font>
    <font>
      <u/>
      <sz val="11"/>
      <color rgb="FF000000"/>
      <name val="Calibri"/>
      <family val="2"/>
      <scheme val="minor"/>
    </font>
    <font>
      <sz val="12"/>
      <color theme="1"/>
      <name val="Calibri"/>
      <scheme val="minor"/>
    </font>
    <font>
      <sz val="12"/>
      <color rgb="FF212529"/>
      <name val="Calibri"/>
      <scheme val="minor"/>
    </font>
    <font>
      <sz val="12"/>
      <color rgb="FF000000"/>
      <name val="Calibri"/>
      <family val="2"/>
      <scheme val="minor"/>
    </font>
    <font>
      <b/>
      <sz val="11"/>
      <color theme="1"/>
      <name val="Calibri"/>
      <scheme val="minor"/>
    </font>
    <font>
      <b/>
      <sz val="10"/>
      <color theme="1"/>
      <name val="Calibri"/>
      <scheme val="minor"/>
    </font>
    <font>
      <sz val="10"/>
      <color theme="1"/>
      <name val="Calibri"/>
      <scheme val="minor"/>
    </font>
    <font>
      <sz val="10"/>
      <name val="Calibri"/>
      <scheme val="minor"/>
    </font>
    <font>
      <b/>
      <sz val="10"/>
      <color theme="1"/>
      <name val="Calibri"/>
      <family val="2"/>
      <scheme val="minor"/>
    </font>
    <font>
      <sz val="10"/>
      <color theme="1"/>
      <name val="Calibri"/>
      <family val="2"/>
      <scheme val="minor"/>
    </font>
    <font>
      <sz val="10"/>
      <color rgb="FF000000"/>
      <name val="Arial"/>
      <charset val="1"/>
    </font>
  </fonts>
  <fills count="8">
    <fill>
      <patternFill patternType="none"/>
    </fill>
    <fill>
      <patternFill patternType="gray125"/>
    </fill>
    <fill>
      <patternFill patternType="solid">
        <fgColor rgb="FFD9D9D9"/>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139">
    <xf numFmtId="0" fontId="0" fillId="0" borderId="0" xfId="0"/>
    <xf numFmtId="0" fontId="2" fillId="0" borderId="0" xfId="0" applyFont="1"/>
    <xf numFmtId="0" fontId="5" fillId="0" borderId="1" xfId="0" applyFont="1" applyBorder="1"/>
    <xf numFmtId="14" fontId="5" fillId="0" borderId="1" xfId="0" applyNumberFormat="1" applyFont="1" applyBorder="1" applyAlignment="1">
      <alignment wrapText="1"/>
    </xf>
    <xf numFmtId="14" fontId="5" fillId="0" borderId="1" xfId="0" applyNumberFormat="1" applyFont="1" applyBorder="1" applyAlignment="1">
      <alignment horizontal="center" wrapText="1"/>
    </xf>
    <xf numFmtId="0" fontId="3" fillId="0" borderId="1" xfId="0" applyFont="1" applyBorder="1" applyAlignment="1">
      <alignment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3" fillId="2" borderId="1" xfId="0" applyFont="1" applyFill="1" applyBorder="1" applyAlignment="1">
      <alignment wrapText="1"/>
    </xf>
    <xf numFmtId="0" fontId="4" fillId="2" borderId="1" xfId="0" applyFont="1" applyFill="1" applyBorder="1" applyAlignment="1">
      <alignment horizontal="center" vertical="center" wrapText="1"/>
    </xf>
    <xf numFmtId="0" fontId="0" fillId="4" borderId="1" xfId="0" applyFill="1" applyBorder="1" applyAlignment="1">
      <alignment horizontal="center" vertical="center"/>
    </xf>
    <xf numFmtId="0" fontId="3" fillId="0" borderId="1" xfId="0" applyFont="1" applyBorder="1" applyAlignment="1">
      <alignment vertical="top" wrapText="1"/>
    </xf>
    <xf numFmtId="0" fontId="3"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wrapText="1"/>
    </xf>
    <xf numFmtId="0" fontId="2" fillId="3" borderId="2" xfId="0" applyFont="1" applyFill="1" applyBorder="1" applyAlignment="1">
      <alignment vertical="top" wrapText="1"/>
    </xf>
    <xf numFmtId="0" fontId="5" fillId="0" borderId="1" xfId="0" applyFont="1" applyBorder="1" applyAlignment="1">
      <alignment horizontal="left" vertical="center"/>
    </xf>
    <xf numFmtId="14" fontId="5"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0" fillId="4" borderId="1" xfId="0" applyFill="1" applyBorder="1" applyAlignment="1">
      <alignment horizontal="left" vertical="center"/>
    </xf>
    <xf numFmtId="0" fontId="2" fillId="3" borderId="2" xfId="0" applyFont="1" applyFill="1" applyBorder="1" applyAlignment="1">
      <alignment horizontal="left" vertical="center" wrapText="1"/>
    </xf>
    <xf numFmtId="0" fontId="0" fillId="0" borderId="0" xfId="0" applyAlignment="1">
      <alignment horizontal="left" vertical="center"/>
    </xf>
    <xf numFmtId="0" fontId="2" fillId="0" borderId="0" xfId="0" applyFont="1" applyAlignment="1">
      <alignment horizontal="left" vertical="center"/>
    </xf>
    <xf numFmtId="0" fontId="0" fillId="0" borderId="1" xfId="0" applyBorder="1" applyAlignment="1">
      <alignment vertical="center" wrapText="1"/>
    </xf>
    <xf numFmtId="0" fontId="0" fillId="0" borderId="1" xfId="0" applyBorder="1" applyAlignment="1">
      <alignment wrapText="1"/>
    </xf>
    <xf numFmtId="0" fontId="0" fillId="0" borderId="0" xfId="0" applyAlignment="1">
      <alignment horizontal="center" vertical="center"/>
    </xf>
    <xf numFmtId="0" fontId="7" fillId="0" borderId="1" xfId="1" applyFont="1" applyBorder="1" applyAlignment="1">
      <alignment horizontal="center" vertical="center"/>
    </xf>
    <xf numFmtId="44" fontId="0" fillId="0" borderId="1" xfId="0" applyNumberFormat="1" applyBorder="1" applyAlignment="1">
      <alignment horizontal="center" vertical="center"/>
    </xf>
    <xf numFmtId="44" fontId="0" fillId="0" borderId="1" xfId="0" applyNumberFormat="1" applyBorder="1" applyAlignment="1">
      <alignment horizontal="center"/>
    </xf>
    <xf numFmtId="0" fontId="2" fillId="0" borderId="3" xfId="0" applyFont="1" applyBorder="1" applyAlignment="1">
      <alignment horizontal="center" vertical="center"/>
    </xf>
    <xf numFmtId="44" fontId="2" fillId="5" borderId="4" xfId="0" applyNumberFormat="1" applyFont="1" applyFill="1" applyBorder="1" applyAlignment="1">
      <alignment horizontal="center" vertical="center"/>
    </xf>
    <xf numFmtId="0" fontId="0" fillId="0" borderId="10" xfId="0" applyBorder="1" applyAlignment="1">
      <alignment vertical="center" wrapText="1"/>
    </xf>
    <xf numFmtId="0" fontId="7" fillId="0" borderId="11" xfId="1" applyFont="1" applyBorder="1" applyAlignment="1">
      <alignment horizontal="center" vertical="center"/>
    </xf>
    <xf numFmtId="0" fontId="0" fillId="0" borderId="10" xfId="0" applyBorder="1" applyAlignment="1">
      <alignment wrapText="1"/>
    </xf>
    <xf numFmtId="0" fontId="0" fillId="0" borderId="12" xfId="0" applyBorder="1" applyAlignment="1">
      <alignment wrapText="1"/>
    </xf>
    <xf numFmtId="0" fontId="0" fillId="0" borderId="13" xfId="0" applyBorder="1" applyAlignment="1">
      <alignment wrapText="1"/>
    </xf>
    <xf numFmtId="0" fontId="7" fillId="0" borderId="13" xfId="1" applyFont="1" applyBorder="1" applyAlignment="1">
      <alignment horizontal="center" vertical="center"/>
    </xf>
    <xf numFmtId="0" fontId="7" fillId="0" borderId="15" xfId="1" applyFont="1" applyBorder="1" applyAlignment="1">
      <alignment horizontal="center" vertical="center"/>
    </xf>
    <xf numFmtId="0" fontId="6" fillId="0" borderId="5" xfId="1" applyBorder="1" applyAlignment="1">
      <alignment horizontal="center" vertical="center"/>
    </xf>
    <xf numFmtId="0" fontId="0" fillId="0" borderId="5" xfId="0" applyBorder="1" applyAlignment="1">
      <alignment horizontal="center" vertical="center"/>
    </xf>
    <xf numFmtId="0" fontId="2" fillId="6" borderId="6" xfId="0" applyFont="1" applyFill="1" applyBorder="1" applyAlignment="1">
      <alignment wrapText="1"/>
    </xf>
    <xf numFmtId="0" fontId="2" fillId="6" borderId="7" xfId="0" applyFont="1" applyFill="1" applyBorder="1" applyAlignment="1">
      <alignment wrapText="1"/>
    </xf>
    <xf numFmtId="0" fontId="2" fillId="6" borderId="7" xfId="0" applyFont="1" applyFill="1" applyBorder="1"/>
    <xf numFmtId="0" fontId="2" fillId="6" borderId="8" xfId="0" applyFont="1" applyFill="1" applyBorder="1"/>
    <xf numFmtId="0" fontId="2" fillId="6" borderId="7" xfId="0" applyFont="1" applyFill="1" applyBorder="1" applyAlignment="1">
      <alignment horizontal="center" vertical="center"/>
    </xf>
    <xf numFmtId="0" fontId="2" fillId="6" borderId="9" xfId="0" applyFont="1" applyFill="1" applyBorder="1" applyAlignment="1">
      <alignment horizontal="center" vertical="center"/>
    </xf>
    <xf numFmtId="0" fontId="0" fillId="0" borderId="16" xfId="0" applyBorder="1" applyAlignment="1">
      <alignment wrapText="1"/>
    </xf>
    <xf numFmtId="8" fontId="0" fillId="0" borderId="1" xfId="0" applyNumberFormat="1" applyBorder="1" applyAlignment="1">
      <alignment horizontal="right"/>
    </xf>
    <xf numFmtId="0" fontId="6" fillId="0" borderId="14" xfId="1" applyBorder="1" applyAlignment="1">
      <alignment horizontal="center" vertical="center"/>
    </xf>
    <xf numFmtId="6" fontId="0" fillId="0" borderId="13" xfId="0" applyNumberFormat="1" applyBorder="1" applyAlignment="1">
      <alignment horizontal="center"/>
    </xf>
    <xf numFmtId="6" fontId="0" fillId="0" borderId="0" xfId="0" applyNumberFormat="1" applyAlignment="1">
      <alignment horizontal="center"/>
    </xf>
    <xf numFmtId="0" fontId="6" fillId="0" borderId="0" xfId="1" applyBorder="1" applyAlignment="1">
      <alignment horizontal="center" vertical="center"/>
    </xf>
    <xf numFmtId="0" fontId="7" fillId="0" borderId="0" xfId="1" applyFont="1" applyBorder="1" applyAlignment="1">
      <alignment horizontal="center" vertical="center"/>
    </xf>
    <xf numFmtId="0" fontId="0" fillId="5" borderId="13" xfId="0" applyFill="1" applyBorder="1" applyAlignment="1">
      <alignment wrapText="1"/>
    </xf>
    <xf numFmtId="0" fontId="7" fillId="5" borderId="13" xfId="1" applyFont="1" applyFill="1" applyBorder="1" applyAlignment="1">
      <alignment horizontal="center" vertical="center"/>
    </xf>
    <xf numFmtId="0" fontId="7" fillId="5" borderId="15" xfId="1" applyFont="1" applyFill="1" applyBorder="1" applyAlignment="1">
      <alignment horizontal="center" vertical="center"/>
    </xf>
    <xf numFmtId="0" fontId="0" fillId="5" borderId="1" xfId="0" applyFill="1" applyBorder="1" applyAlignment="1">
      <alignment wrapText="1"/>
    </xf>
    <xf numFmtId="0" fontId="7" fillId="5" borderId="1" xfId="1" applyFont="1" applyFill="1" applyBorder="1" applyAlignment="1">
      <alignment horizontal="center" vertical="center"/>
    </xf>
    <xf numFmtId="0" fontId="7" fillId="5" borderId="11" xfId="1" applyFont="1" applyFill="1" applyBorder="1" applyAlignment="1">
      <alignment horizontal="center" vertical="center"/>
    </xf>
    <xf numFmtId="0" fontId="2" fillId="6" borderId="6" xfId="0" applyFont="1" applyFill="1" applyBorder="1" applyAlignment="1">
      <alignment horizontal="left" vertical="center"/>
    </xf>
    <xf numFmtId="0" fontId="0" fillId="0" borderId="10" xfId="0" applyBorder="1" applyAlignment="1">
      <alignment horizontal="left" vertical="center"/>
    </xf>
    <xf numFmtId="0" fontId="0" fillId="0" borderId="12" xfId="0" applyBorder="1" applyAlignment="1">
      <alignment horizontal="left" vertical="center"/>
    </xf>
    <xf numFmtId="164" fontId="9" fillId="0" borderId="1" xfId="0" applyNumberFormat="1" applyFont="1" applyBorder="1"/>
    <xf numFmtId="0" fontId="0" fillId="5" borderId="10" xfId="0" applyFill="1" applyBorder="1" applyAlignment="1">
      <alignment horizontal="left" vertical="center"/>
    </xf>
    <xf numFmtId="0" fontId="7" fillId="5" borderId="10" xfId="0" applyFont="1" applyFill="1" applyBorder="1" applyAlignment="1">
      <alignment horizontal="left" vertical="center"/>
    </xf>
    <xf numFmtId="0" fontId="7" fillId="5" borderId="1" xfId="0" applyFont="1" applyFill="1" applyBorder="1" applyAlignment="1">
      <alignment wrapText="1"/>
    </xf>
    <xf numFmtId="164" fontId="12" fillId="6" borderId="7" xfId="0" applyNumberFormat="1" applyFont="1" applyFill="1" applyBorder="1"/>
    <xf numFmtId="164" fontId="12" fillId="0" borderId="1" xfId="0" applyNumberFormat="1" applyFont="1" applyBorder="1" applyAlignment="1">
      <alignment horizontal="center"/>
    </xf>
    <xf numFmtId="164" fontId="12" fillId="0" borderId="1" xfId="0" applyNumberFormat="1" applyFont="1" applyBorder="1" applyAlignment="1">
      <alignment horizontal="right"/>
    </xf>
    <xf numFmtId="164" fontId="12" fillId="0" borderId="0" xfId="0" applyNumberFormat="1" applyFont="1"/>
    <xf numFmtId="164" fontId="12" fillId="0" borderId="13" xfId="0" applyNumberFormat="1" applyFont="1" applyBorder="1" applyAlignment="1">
      <alignment horizontal="center"/>
    </xf>
    <xf numFmtId="164" fontId="12" fillId="5" borderId="1" xfId="0" applyNumberFormat="1" applyFont="1" applyFill="1" applyBorder="1" applyAlignment="1">
      <alignment horizontal="center"/>
    </xf>
    <xf numFmtId="164" fontId="14" fillId="5" borderId="1" xfId="0" applyNumberFormat="1" applyFont="1" applyFill="1" applyBorder="1" applyAlignment="1">
      <alignment horizontal="center"/>
    </xf>
    <xf numFmtId="164" fontId="12" fillId="5" borderId="1" xfId="0" applyNumberFormat="1" applyFont="1" applyFill="1" applyBorder="1" applyAlignment="1">
      <alignment horizontal="right"/>
    </xf>
    <xf numFmtId="164" fontId="12" fillId="5" borderId="13" xfId="0" applyNumberFormat="1" applyFont="1" applyFill="1" applyBorder="1" applyAlignment="1">
      <alignment horizontal="center"/>
    </xf>
    <xf numFmtId="164" fontId="12" fillId="5" borderId="1" xfId="0" applyNumberFormat="1" applyFont="1" applyFill="1" applyBorder="1"/>
    <xf numFmtId="0" fontId="6" fillId="5" borderId="1" xfId="1" applyFill="1" applyBorder="1" applyAlignment="1">
      <alignment horizontal="center"/>
    </xf>
    <xf numFmtId="0" fontId="0" fillId="5" borderId="1" xfId="0" applyFill="1" applyBorder="1" applyAlignment="1">
      <alignment horizontal="center" vertical="center"/>
    </xf>
    <xf numFmtId="164" fontId="12" fillId="0" borderId="0" xfId="0" applyNumberFormat="1" applyFont="1" applyAlignment="1">
      <alignment horizontal="center"/>
    </xf>
    <xf numFmtId="0" fontId="0" fillId="0" borderId="0" xfId="0" applyAlignment="1">
      <alignment vertical="center" wrapText="1"/>
    </xf>
    <xf numFmtId="164" fontId="12" fillId="0" borderId="0" xfId="0" applyNumberFormat="1" applyFont="1" applyAlignment="1">
      <alignment horizontal="center" vertical="center"/>
    </xf>
    <xf numFmtId="0" fontId="6" fillId="0" borderId="0" xfId="1" applyFill="1" applyBorder="1" applyAlignment="1">
      <alignment horizontal="center" vertical="center"/>
    </xf>
    <xf numFmtId="0" fontId="7" fillId="0" borderId="0" xfId="1" applyFont="1" applyFill="1" applyBorder="1" applyAlignment="1">
      <alignment horizontal="center" vertical="center"/>
    </xf>
    <xf numFmtId="164" fontId="12" fillId="0" borderId="0" xfId="0" applyNumberFormat="1" applyFont="1" applyAlignment="1">
      <alignment horizontal="right"/>
    </xf>
    <xf numFmtId="0" fontId="6" fillId="0" borderId="1" xfId="1" applyBorder="1" applyAlignment="1">
      <alignment horizontal="center" vertical="center"/>
    </xf>
    <xf numFmtId="0" fontId="6" fillId="5" borderId="1" xfId="1" applyFill="1" applyBorder="1" applyAlignment="1">
      <alignment horizontal="center" vertical="center"/>
    </xf>
    <xf numFmtId="0" fontId="0" fillId="5" borderId="12" xfId="0" applyFill="1" applyBorder="1" applyAlignment="1">
      <alignment horizontal="left" vertical="center"/>
    </xf>
    <xf numFmtId="0" fontId="6" fillId="5" borderId="13" xfId="1" applyFill="1" applyBorder="1" applyAlignment="1">
      <alignment horizontal="center" vertical="center"/>
    </xf>
    <xf numFmtId="164" fontId="13" fillId="5" borderId="13" xfId="0" applyNumberFormat="1" applyFont="1" applyFill="1" applyBorder="1"/>
    <xf numFmtId="164" fontId="10" fillId="0" borderId="13" xfId="0" applyNumberFormat="1" applyFont="1" applyBorder="1"/>
    <xf numFmtId="0" fontId="6" fillId="0" borderId="13" xfId="1" applyBorder="1" applyAlignment="1">
      <alignment horizontal="center" vertical="center"/>
    </xf>
    <xf numFmtId="0" fontId="0" fillId="7" borderId="0" xfId="0" applyFill="1" applyAlignment="1">
      <alignment horizontal="left" vertical="center"/>
    </xf>
    <xf numFmtId="0" fontId="0" fillId="7" borderId="0" xfId="0" applyFill="1" applyAlignment="1">
      <alignment wrapText="1"/>
    </xf>
    <xf numFmtId="164" fontId="12" fillId="7" borderId="0" xfId="0" applyNumberFormat="1" applyFont="1" applyFill="1" applyAlignment="1">
      <alignment horizontal="center"/>
    </xf>
    <xf numFmtId="0" fontId="0" fillId="7" borderId="0" xfId="0" applyFill="1" applyAlignment="1">
      <alignment horizontal="center" vertical="center"/>
    </xf>
    <xf numFmtId="0" fontId="7" fillId="7" borderId="0" xfId="1" applyFont="1" applyFill="1" applyBorder="1" applyAlignment="1">
      <alignment horizontal="center" vertical="center"/>
    </xf>
    <xf numFmtId="0" fontId="11" fillId="5" borderId="1" xfId="1" applyFont="1" applyFill="1" applyBorder="1" applyAlignment="1">
      <alignment horizontal="center" vertical="center"/>
    </xf>
    <xf numFmtId="164" fontId="10" fillId="0" borderId="1" xfId="0" applyNumberFormat="1" applyFont="1" applyBorder="1"/>
    <xf numFmtId="0" fontId="0" fillId="0" borderId="0" xfId="0" applyAlignment="1">
      <alignment horizontal="center" vertical="center" wrapText="1"/>
    </xf>
    <xf numFmtId="0" fontId="0" fillId="5" borderId="10" xfId="0" applyFill="1" applyBorder="1" applyAlignment="1">
      <alignment horizontal="left" vertical="center" wrapText="1"/>
    </xf>
    <xf numFmtId="0" fontId="0" fillId="5" borderId="11" xfId="0" applyFill="1" applyBorder="1" applyAlignment="1">
      <alignment horizontal="center" vertical="center"/>
    </xf>
    <xf numFmtId="0" fontId="6" fillId="0" borderId="1" xfId="1" applyBorder="1"/>
    <xf numFmtId="0" fontId="0" fillId="0" borderId="11"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164" fontId="12" fillId="0" borderId="1" xfId="0" applyNumberFormat="1" applyFont="1" applyBorder="1"/>
    <xf numFmtId="0" fontId="0" fillId="0" borderId="10" xfId="0" applyBorder="1" applyAlignment="1">
      <alignment horizontal="left" vertical="center" wrapText="1"/>
    </xf>
    <xf numFmtId="0" fontId="0" fillId="0" borderId="12" xfId="0" applyBorder="1" applyAlignment="1">
      <alignment horizontal="left" vertical="center" wrapText="1"/>
    </xf>
    <xf numFmtId="164" fontId="12" fillId="0" borderId="13" xfId="0" applyNumberFormat="1" applyFont="1" applyBorder="1"/>
    <xf numFmtId="0" fontId="6" fillId="0" borderId="13" xfId="1" applyBorder="1"/>
    <xf numFmtId="0" fontId="16" fillId="0" borderId="1" xfId="0" applyFont="1" applyBorder="1" applyAlignment="1">
      <alignment horizontal="left" vertical="center" wrapText="1"/>
    </xf>
    <xf numFmtId="14" fontId="16" fillId="0" borderId="1" xfId="0" applyNumberFormat="1" applyFont="1" applyBorder="1" applyAlignment="1">
      <alignment horizontal="left" vertical="center" wrapText="1"/>
    </xf>
    <xf numFmtId="0" fontId="17" fillId="0" borderId="1" xfId="0" applyFont="1" applyBorder="1" applyAlignment="1">
      <alignment horizontal="left" vertical="center" wrapText="1"/>
    </xf>
    <xf numFmtId="0" fontId="17" fillId="2" borderId="1" xfId="0" applyFont="1" applyFill="1" applyBorder="1" applyAlignment="1">
      <alignment horizontal="left" vertical="center" wrapText="1"/>
    </xf>
    <xf numFmtId="0" fontId="18" fillId="2" borderId="1" xfId="0" applyFont="1" applyFill="1" applyBorder="1" applyAlignment="1">
      <alignment horizontal="center" vertical="center" wrapText="1"/>
    </xf>
    <xf numFmtId="0" fontId="15" fillId="3" borderId="2" xfId="0" applyFont="1" applyFill="1" applyBorder="1" applyAlignment="1">
      <alignment horizontal="left" vertical="center" wrapText="1"/>
    </xf>
    <xf numFmtId="14" fontId="16" fillId="0" borderId="1" xfId="0" applyNumberFormat="1" applyFont="1" applyBorder="1" applyAlignment="1">
      <alignment horizontal="center" vertical="center" wrapText="1"/>
    </xf>
    <xf numFmtId="0" fontId="15" fillId="3" borderId="2" xfId="0" applyFont="1" applyFill="1" applyBorder="1" applyAlignment="1">
      <alignment horizontal="center" vertical="center" wrapText="1"/>
    </xf>
    <xf numFmtId="0" fontId="17" fillId="0" borderId="1" xfId="0" applyFont="1" applyBorder="1" applyAlignment="1">
      <alignment horizontal="center" vertical="center" wrapText="1"/>
    </xf>
    <xf numFmtId="0" fontId="20" fillId="2" borderId="1" xfId="0" applyFont="1" applyFill="1" applyBorder="1" applyAlignment="1">
      <alignment horizontal="left" vertical="center" wrapText="1"/>
    </xf>
    <xf numFmtId="0" fontId="21" fillId="0" borderId="0" xfId="0" applyFont="1" applyAlignment="1">
      <alignment wrapText="1"/>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8" fillId="0" borderId="0" xfId="0" applyFont="1" applyAlignment="1">
      <alignment horizontal="center"/>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etfpv.com/radiomaster-bandit-915mhz-t-antenna-rp-sma.html?gc_id=21805212387&amp;g_special_campaign=true&amp;gad_source=1&amp;gad_campaignid=21805212387&amp;gbraid=0AAAAAD8cN5KpEvW56Htkj5MoubPFV5jw7&amp;gclid=Cj0KCQjwrc7GBhCfARIsAHGcW5XTDBipXvHif6-BUV4LAkhAShcrDx-oRn3Z3GGNl6MRkMYRMvR2HMcaAqg5EALw_wcB" TargetMode="External"/><Relationship Id="rId13" Type="http://schemas.openxmlformats.org/officeDocument/2006/relationships/hyperlink" Target="https://www.digikey.com/en/products/detail/te-connectivity-linx/ANT-915-IPW1-RPS/15293389?gclsrc=aw.ds&amp;gad_source=1&amp;gad_campaignid=20228387720&amp;gbraid=0AAAAADrbLliXgz6KqxYlR5MdAW2xGz-e5&amp;gclid=Cj0KCQjwl5jHBhDHARIsAB0YqjwjvY92_aylBMWi6LgdNjlHKiJ11CPIm0wVwx8KtbaTA5ijJjStzsAaAhmuEALw_wcB" TargetMode="External"/><Relationship Id="rId18" Type="http://schemas.openxmlformats.org/officeDocument/2006/relationships/hyperlink" Target="https://www.minicircuits.com/WebStore/dashboard.html?model=086-6SBSM%2B" TargetMode="External"/><Relationship Id="rId26" Type="http://schemas.openxmlformats.org/officeDocument/2006/relationships/hyperlink" Target="https://www.digikey.com/en/products/detail/microchip-technology/RN-UFL-SMA6/2094296?gad_source=1&amp;gad_campaignid=20050284185&amp;gbraid=0AAAAADrbLlgxWhnLYzRt-uyH9jfNMTshX&amp;gclid=CjwKCAjwxrLHBhA2EiwAu9EdMxtltaXhtlzFtuyQlzg2aAEf9KHGxJ0KGPIq0zIRwDOM9le3b9a3fBoCBEIQAvD_BwE&amp;gclsrc=aw.ds" TargetMode="External"/><Relationship Id="rId3" Type="http://schemas.openxmlformats.org/officeDocument/2006/relationships/hyperlink" Target="https://www.amazon.com/PATRIOT-P300-2280-256GB-PCIe/dp/B082BWY2C2/ref=sr_1_1_sspa?crid=37EZNLH16XZ9W&amp;dib=eyJ2IjoiMSJ9.P9qWNJCLVicUHw0v7xREjws8DlKMz_NjPoz2ACfFLsTE3f1xFVwZjl_zqYRrykDXvGmygkiv7fFgmjxegcllK3oZUkiXTLfudAZgj9eHb2PFbiPVcmw858YkwcoHcDSApGsKsx437KpZml5cm72tVaBe_IAxWCepVKi2tl8nxslvtQunwq6o_PoMXedqgZNbMIX42Z3LlI6bV6JTtdT1ei36dFDoxojGqh301qJiKL4nNE5A16nrY17d3Fp5bM2-Y7-ZBhDYGUc6c971Tv830MeBqEOuTLLeuNHYKVkHLrQ.42mh4hBpQugHREnSo3mpSqPGGi3xh36jXNE_xORB3Xs&amp;dib_tag=se&amp;keywords=nvme+ssd&amp;qid=1758216088&amp;s=electronics&amp;sprefix=nvme+ssd%2Celectronics%2C555&amp;sr=1-1-spons&amp;sp_csd=d2lkZ2V0TmFtZT1zcF9hdGY&amp;psc=1" TargetMode="External"/><Relationship Id="rId21" Type="http://schemas.openxmlformats.org/officeDocument/2006/relationships/hyperlink" Target="https://www.digikey.com/en/products/detail/raspberry-pi/SC1113/25862713?gclsrc=aw.ds&amp;gad_source=1&amp;gad_campaignid=20228387720&amp;gbraid=0AAAAADrbLlg3uvxwhPc0lha7YACvU-_au&amp;gclid=Cj0KCQjwl5jHBhDHARIsAB0YqjxjsMKYC6bArEZZTQ-u4QLvVVqJVnXd7Rpc66bONqqxh_U2pXo0YmMaAorzEALw_wcB" TargetMode="External"/><Relationship Id="rId7" Type="http://schemas.openxmlformats.org/officeDocument/2006/relationships/hyperlink" Target="https://www.adafruit.com/product/3178?srsltid=AfmBOorAcATjt9ejJ5nRNlOyxpvw7U2Im-4Q9s4TpUBDgWjvSgB42jTi" TargetMode="External"/><Relationship Id="rId12" Type="http://schemas.openxmlformats.org/officeDocument/2006/relationships/hyperlink" Target="https://www.digikey.com/en/products/detail/te-connectivity-linx/ANT-916-CW-RCL-SMA/13147742?gclsrc=aw.ds&amp;gad_source=1&amp;gad_campaignid=20228387720&amp;gbraid=0AAAAADrbLliXgz6KqxYlR5MdAW2xGz-e5&amp;gclid=Cj0KCQjwl5jHBhDHARIsAB0Yqjw4KeVk5ni6mMG9SW1ew4UpBd0VliaD8Jjg_8LiYvL6y9S1NKNbahsaAhkFEALw_wcB" TargetMode="External"/><Relationship Id="rId17" Type="http://schemas.openxmlformats.org/officeDocument/2006/relationships/hyperlink" Target="https://www.amazon.com/ALLiSHOP-Connectors-Connector-Goldplated-Connectivity/dp/B07Z2QB9M8/ref=sr_1_1_sspa?crid=3018A81M2ACRH&amp;dib=eyJ2IjoiMSJ9.DHH5Ci00m3VLMfpCoZTuaogMRFWwl4WoK9YJ63_MIfx0UhvouwyIGxCF779BCvmdk-V2HWFYeZyIv9JdVGdDPCl3zmmuwzJm6mDKA9uOGNWhFn3FEaEk7cs5fJiANn2FttPYTGad5VTwlPzOCarTDuzTG2Zt2BRWk2_9_ZTXnL8fJDJZwx40XPQ3pPlmh3RBIXN-LF1CMrP8BjbUgkW1441lRAdh7PUDGRJaij2mJSI.73UylLY1JQ_RG9CbkjlfK9_mvkuUwMVRRI5lgVuINF4&amp;dib_tag=se&amp;keywords=antenna+connector+kit&amp;qid=1759954353&amp;sprefix=antenna+connector+kit%2Caps%2C158&amp;sr=8-1-spons&amp;sp_csd=d2lkZ2V0TmFtZT1zcF9hdGY&amp;psc=1" TargetMode="External"/><Relationship Id="rId25" Type="http://schemas.openxmlformats.org/officeDocument/2006/relationships/hyperlink" Target="https://www.getfpv.com/rp-sma-to-ufl-cable-200mm.html?gc_id=21805212387&amp;g_special_campaign=true&amp;gad_source=1&amp;gad_campaignid=21805212387&amp;gbraid=0AAAAAD8cN5LrjDDc3fNlhBr6ecZlv_FKD&amp;gclid=CjwKCAjwxrLHBhA2EiwAu9EdM1l24Rom3nlUDxzi_eBSXV6TnLf56kGlCTh-m0EAnOeyVZo1fbJX2xoCFQMQAvD_BwE" TargetMode="External"/><Relationship Id="rId2" Type="http://schemas.openxmlformats.org/officeDocument/2006/relationships/hyperlink" Target="https://www.digikey.com/en/products/detail/susumu/PAT0510S-C-10DB-T10/948830" TargetMode="External"/><Relationship Id="rId16" Type="http://schemas.openxmlformats.org/officeDocument/2006/relationships/hyperlink" Target="https://www.minicircuits.com/WebStore/dashboard.html?model=BAT-5%2B" TargetMode="External"/><Relationship Id="rId20" Type="http://schemas.openxmlformats.org/officeDocument/2006/relationships/hyperlink" Target="https://www.getfpv.com/tbs-crossfire-immortal-t-antenna-v2-extended.html?gc_id=21805212384&amp;g_special_campaign=true&amp;gad_source=1&amp;gad_campaignid=21805212384&amp;gbraid=0AAAAAD8cN5IBFM4KeYsXqAadf2PnFJLTL&amp;gclid=Cj0KCQjwl5jHBhDHARIsAB0Yqjx3RQxTIH3aSc1kGwrAiOSclVGDxCxjed2Sko68d23xgH8-oo8OMlsaAuHPEALw_wcB" TargetMode="External"/><Relationship Id="rId29" Type="http://schemas.openxmlformats.org/officeDocument/2006/relationships/hyperlink" Target="https://www.minicircuits.com/WebStore/dashboard.html?model=ZFL-1000LN%2B" TargetMode="External"/><Relationship Id="rId1" Type="http://schemas.openxmlformats.org/officeDocument/2006/relationships/hyperlink" Target="https://www.mouser.com/ProductDetail/RFMi/SF2098H?qs=zW32dvEIR3sr0A1e2MY2bg%3D%3D" TargetMode="External"/><Relationship Id="rId6" Type="http://schemas.openxmlformats.org/officeDocument/2006/relationships/hyperlink" Target="https://heltec.org/project/wifi-lora-32-v3/" TargetMode="External"/><Relationship Id="rId11" Type="http://schemas.openxmlformats.org/officeDocument/2006/relationships/hyperlink" Target="https://pyrodrone.com/collections/915mhz/products/tbs-crossfire-stock-tx-v2-antenna" TargetMode="External"/><Relationship Id="rId24" Type="http://schemas.openxmlformats.org/officeDocument/2006/relationships/hyperlink" Target="https://www.amazon.com/Raspberry-Pi-Active-Cooler/dp/B0CLXZBR5P/ref=sr_1_3?dib=eyJ2IjoiMSJ9.yxdTGmMffH2iJhveQSAPuJ0u-KxLqhYS2of30QR-KP1zc-rMREpbaZRitRg7FViQaOp5ePdovPM9pCuD8tvluLuLPFtOOUZDVpyzjvbqFLPxx3Wk03SbGQRM_WTqRtFRQWZJz5SGKv5ZGxd_HtCduh772BcYzICdaVW6jNFRWGMzcOjLHiH-9CU9PwWEJLGuKwl5TrG0AjndRcq3uogH--g2jAy4uuIvV2otTNAofAs.SZn2MOq1BIUNqYbmszPi1rjk7ZW-lrU1z5nuaKf7Y9c&amp;dib_tag=se&amp;hvadid=693676808375&amp;hvdev=c&amp;hvexpln=67&amp;hvlocphy=9028893&amp;hvnetw=g&amp;hvocijid=319967031151293305--&amp;hvqmt=b&amp;hvrand=319967031151293305&amp;hvtargid=kwd-2428256207408&amp;hydadcr=24389_13533833&amp;keywords=raspberry+pi+5+fan+and+heatsink&amp;mcid=0cd036bf6d34306fbd2a3fab11f8fda9&amp;qid=1760387685&amp;sr=8-3" TargetMode="External"/><Relationship Id="rId5" Type="http://schemas.openxmlformats.org/officeDocument/2006/relationships/hyperlink" Target="https://www.crowdsupply.com/lime-micro/limesdr" TargetMode="External"/><Relationship Id="rId15" Type="http://schemas.openxmlformats.org/officeDocument/2006/relationships/hyperlink" Target="https://www.amazon.com/Zeee-Battery-Connector-Airplane-Helicopter/dp/B08NDSGZ85/ref=sr_1_6?crid=3E3XJOACV5PPV&amp;dib=eyJ2IjoiMSJ9.-_3NqseTr7Fo7b4Uw64U4EgZuBpJrtLATjTWD7WWQHR_gVXH9GNI3eqMH9OSJACS1yALq0tqXdv8XCWs0I5385Pw9eh7zEIRMRf3ERSCkvU9XbYTR6cyA_6WY51LN2sZ73M8djgWq7GiRuBaYsSHfzdvsKaGP2gHDJUEZaBRugbZkYZuZT1e8egUGnGhShhaGWUSGQQvVdG1eHoYEZi4zbSN9RqLK2gMpqXZVA326vCrudQ55_i1v1m5VR0lDs16_RUchRLasMFdORNjSK4tKb3ueYcrCxNIyTv8uYYAwoo.xs_1XkS8zYBeaR-KJNu9gsz7cD_iCDIeaImd7fKv0_c&amp;dib_tag=se&amp;keywords=6s+2200+mAH&amp;qid=1758134937&amp;sprefix=6s+2200+mah%2Caps%2C209&amp;sr=8-6" TargetMode="External"/><Relationship Id="rId23" Type="http://schemas.openxmlformats.org/officeDocument/2006/relationships/hyperlink" Target="https://www.amazon.com/10000mAh-Portable-Charger-External-Compatible/dp/B094Y1R46V/ref=sr_1_6?crid=2SAFM4ES5ZQ4E&amp;dib=eyJ2IjoiMSJ9.Zldm96C9fRNdfygh4V_jMoEIXyc7Aqk0Hcn5I8n7wg07s1FMSfNGA-Uu_h4CPFWNCoBY2gr3h4hpf0IdPthjsUHM-tKCYLQLnOQ1ilCr7qcqtOHEuF0gGgZqm9V5TAhgVUKCGLdxoP0EE4dwn9b7dGysRVgeNXrXNA2otc7K3pGPIMvP2PjHcbLAKZw7pFo4HJWxC4uecvQ0cd9hvcruYD2peWInv7N24XXGmW7J72c.glDmFtQ3BqKFC3zol-7po5UxvBuwZNAsMIMUFtuc0zI&amp;dib_tag=se&amp;keywords=usbc%2Bpower%2Bbank%2Bcheap&amp;qid=1760387449&amp;sprefix=usbc%2Bpower%2Bbank%2Bcheap%2Caps%2C137&amp;sr=8-6&amp;th=1" TargetMode="External"/><Relationship Id="rId28" Type="http://schemas.openxmlformats.org/officeDocument/2006/relationships/hyperlink" Target="https://www.minicircuits.com/WebStore/dashboard.html?model=VBFZ-925-S%2B" TargetMode="External"/><Relationship Id="rId10" Type="http://schemas.openxmlformats.org/officeDocument/2006/relationships/hyperlink" Target="https://www.progressiverc.com/products/matek-gnss-compass-module?variant=40420995170439&amp;country=US&#164;cy=USD" TargetMode="External"/><Relationship Id="rId19" Type="http://schemas.openxmlformats.org/officeDocument/2006/relationships/hyperlink" Target="https://www.amazon.com/OVERTURE-Filament-Consumables-Dimensional-Accuracy/dp/B07PGYHYV8/ref=sr_1_1_sspa?crid=2DV3YFOTFL1JL&amp;dib=eyJ2IjoiMSJ9.fXSAolwsB0y_lm7AA7aPBBlBcINk9HgcUQCN8SwzGIpXDmJKgRSjdWQvBRLz0mC6GzWs37JWMcrrlFpGv3tkxsSDXCXPRyCCwpuyxrj9Mho5OFvaRjV4_R9TfpeUBRkJhqna1z_FJ1ucSVOHETqKfAo0MKcYba-XcC-Av9VGitqDe-jZmA_2EB47VGBIlv_a4tjHwPO9G_7pLXyEYRK8dM6hUkkMKpm_gBoeJuAODXQ.EW6iZjHF7LZA4j8UeXRgV2tvr4dsbacCqCvvIoKHZVo&amp;dib_tag=se&amp;keywords=petg%2Bfilament&amp;qid=1759956199&amp;sprefix=PETG%2Caps%2C511&amp;sr=8-1-spons&amp;sp_csd=d2lkZ2V0TmFtZT1zcF9hdGY&amp;th=1" TargetMode="External"/><Relationship Id="rId31" Type="http://schemas.openxmlformats.org/officeDocument/2006/relationships/printerSettings" Target="../printerSettings/printerSettings1.bin"/><Relationship Id="rId4" Type="http://schemas.openxmlformats.org/officeDocument/2006/relationships/hyperlink" Target="https://www.ettus.com/all-products/ub210-kit/" TargetMode="External"/><Relationship Id="rId9" Type="http://schemas.openxmlformats.org/officeDocument/2006/relationships/hyperlink" Target="https://www.amazon.com/Environment-Interface-Measuring-Temperature-Humidity/dp/B08ZM2GTYT" TargetMode="External"/><Relationship Id="rId14" Type="http://schemas.openxmlformats.org/officeDocument/2006/relationships/hyperlink" Target="https://www.amazon.com/SanDisk-500GB-Extreme-Portable-SDSSDE61-500G-G25/dp/B08GTXVG9P/ref=sr_1_5?crid=2N16J1QI41AH9&amp;dib=eyJ2IjoiMSJ9.pAnFiFFrAxMkcZtBrQL4b034dNA8pETwD3Cru5vxn3uPurBolaR4aVe6GMiblK1JNIaOq_rB1VxATSnR9xhvVMTScVuAZuHWFCa1mfaGPgW3SsccXnLKVyXIYYfB_WEIxGC-jtR7YbjxbxN3I5ej8tK0SeocmcK5VpUK4abKpvE0J_8F71I4oqKd_zVKlzfU16nKUKjxMDaQ2M1D33ZzZuagLugGJoHPBlZSrsPJiUE.Iay4wRFhQOhBH1_UX1JJXoIe4RdYfkInhj78lfS57mk&amp;dib_tag=se&amp;keywords=usb3%2Bssd%2B500GB&amp;qid=1759952622&amp;sprefix=usb3%2Bssd%2B500gb%2Caps%2C106&amp;sr=8-5&amp;th=1" TargetMode="External"/><Relationship Id="rId22" Type="http://schemas.openxmlformats.org/officeDocument/2006/relationships/hyperlink" Target="https://www.minicircuits.com/WebStore/dashboard.html?model=BW-S10W2%2B" TargetMode="External"/><Relationship Id="rId27" Type="http://schemas.openxmlformats.org/officeDocument/2006/relationships/hyperlink" Target="https://www.minicircuits.com/WebStore/dashboard.html?model=ZX75BP-942-S%2B" TargetMode="External"/><Relationship Id="rId30" Type="http://schemas.openxmlformats.org/officeDocument/2006/relationships/hyperlink" Target="https://www.minicircuits.com/WebStore/dashboard.html?model=ZEL-0812L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mouser.com/ProductDetail/RFMi/SF2098H?qs=zW32dvEIR3sr0A1e2MY2bg%3D%3D" TargetMode="External"/><Relationship Id="rId13" Type="http://schemas.openxmlformats.org/officeDocument/2006/relationships/hyperlink" Target="https://www.digikey.com/en/products/detail/sparkfun-electronics/18569/15652895" TargetMode="External"/><Relationship Id="rId3" Type="http://schemas.openxmlformats.org/officeDocument/2006/relationships/hyperlink" Target="https://www.amazon.com/dp/B0BZJTQ5YP?utm_source=nvidia&amp;th=1" TargetMode="External"/><Relationship Id="rId7" Type="http://schemas.openxmlformats.org/officeDocument/2006/relationships/hyperlink" Target="https://www.amazon.com/Directional-Antenna-Compatible-Control-Positioning/dp/B0C5H4HFXM" TargetMode="External"/><Relationship Id="rId12" Type="http://schemas.openxmlformats.org/officeDocument/2006/relationships/hyperlink" Target="https://www.amazon.com/Hiteuoms-2000mAh-Development-Protection-Insulated/dp/B0F37YXH7W/ref=sr_1_1_sspa?crid=15WCDGPOJMC0A&amp;dib=eyJ2IjoiMSJ9.vCGolfHplkz3dtoI_Mf1EM0SOloJYvNlfHhfSS5UMfQx1T6C8Awx_pNTY3HoAsnGu0jnOHmOBF_esqdMiIszyknZv2kBU3vDZedw3sHjUPU38pKkySD52390vWPYQ_sfEkkabFHDZwKgV1pqhNHuGjplVkwC863ehsHqhvdwps_UBjQs_gOFryCmBZUHsrd60y0M7AQGtEzztZVePccbfJLeWRM0pzVGUweDuBpUmx7CJUhtecF6PtQ2hp-AxUyS5muEd4m8uBEYPQsufjBiIMgLHGXAJLHvguGKgQRuguA.S3JpSmpknULFt3lZuw6SQDdn0_F6coLvL0D4p1CKh34&amp;dib_tag=se&amp;keywords=1s%2B3.7%2Blipo&amp;qid=1758217197&amp;s=electronics&amp;sprefix=1s%2B3.7%2Blipo%2Celectronics%2C129&amp;sr=1-1-spons&amp;sp_csd=d2lkZ2V0TmFtZT1zcF9hdGY&amp;th=1" TargetMode="External"/><Relationship Id="rId2" Type="http://schemas.openxmlformats.org/officeDocument/2006/relationships/hyperlink" Target="https://www.amazon.com/Zeee-Battery-Connector-Airplane-Helicopter/dp/B08NDSGZ85/ref=sr_1_6?crid=3E3XJOACV5PPV&amp;dib=eyJ2IjoiMSJ9.-_3NqseTr7Fo7b4Uw64U4EgZuBpJrtLATjTWD7WWQHR_gVXH9GNI3eqMH9OSJACS1yALq0tqXdv8XCWs0I5385Pw9eh7zEIRMRf3ERSCkvU9XbYTR6cyA_6WY51LN2sZ73M8djgWq7GiRuBaYsSHfzdvsKaGP2gHDJUEZaBRugbZkYZuZT1e8egUGnGhShhaGWUSGQQvVdG1eHoYEZi4zbSN9RqLK2gMpqXZVA326vCrudQ55_i1v1m5VR0lDs16_RUchRLasMFdORNjSK4tKb3ueYcrCxNIyTv8uYYAwoo.xs_1XkS8zYBeaR-KJNu9gsz7cD_iCDIeaImd7fKv0_c&amp;dib_tag=se&amp;keywords=6s+2200+mAH&amp;qid=1758134937&amp;sprefix=6s+2200+mah%2Caps%2C209&amp;sr=8-6" TargetMode="External"/><Relationship Id="rId16" Type="http://schemas.openxmlformats.org/officeDocument/2006/relationships/hyperlink" Target="https://www.amazon.com/ANYCUBIC-Filament-Dimensional-Accuracy-Printers/dp/B0DHZN9KKB/ref=sr_1_1_sspa?dib=eyJ2IjoiMSJ9.1EBdk22Zo0I-pkHRAjCzFYfTQWFzuRO0182yOwhsRfsz_3G4DigsPiKioEcKAxSWLG3nDwzXVFuyKahqLs_vcabS7xPbvTLHUq6hFHl63tX0Vlikz-teZ_p565vxrvXaiS8-RJz-6cqZTDb2msyQuBX2nLHUmf9dn0NgUQJ-h-v5va6Ia_Y5lnxKb2cAK7Bd8Q2WYGhqRDkm7I3vWN-cNFznnyw2XcLmPTgv2QAvCw8.c6Cn2TvXoNAc3oi7ZumlKTBF6T7KDTOLRm9KzpuGMX8&amp;dib_tag=se&amp;keywords=PLA%2B+filament&amp;qid=1758767768&amp;sr=8-1-spons&amp;sp_csd=d2lkZ2V0TmFtZT1zcF9hdGY&amp;psc=1" TargetMode="External"/><Relationship Id="rId1" Type="http://schemas.openxmlformats.org/officeDocument/2006/relationships/hyperlink" Target="https://druav.com/products/holybro-x500-v2-px4-development-kit?variant=49375992053973&amp;country=AU&#164;cy=USD&amp;utm_medium=product_sync&amp;utm_source=google&amp;utm_content=sag_organic&amp;utm_campaign=sag_organic&amp;srsltid=AfmBOopn2KUDwy1TyvPuRAcNhORVvTSQTXZlEXNQAAKxDRNPlbY1luer8jk&amp;com_cvv=8fb3d522dc163aeadb66e08cd7450cbbdddc64c6cf2e8891f6d48747c6d56d2c" TargetMode="External"/><Relationship Id="rId6" Type="http://schemas.openxmlformats.org/officeDocument/2006/relationships/hyperlink" Target="https://www.mouser.com/ProductDetail/Taoglas/ISPC.91A.09.0092E?qs=gQGbhTXPkfg%252B2P4oUA%2FSYg%3D%3D" TargetMode="External"/><Relationship Id="rId11" Type="http://schemas.openxmlformats.org/officeDocument/2006/relationships/hyperlink" Target="https://heltec.org/project/wifi-lora-32-v3/" TargetMode="External"/><Relationship Id="rId5" Type="http://schemas.openxmlformats.org/officeDocument/2006/relationships/hyperlink" Target="https://www.amazon.com/RadioMaster-2-4GHz-Channel-Transmitter-Gimbals/dp/B09XWHP1C2/ref=sr_1_2?crid=2XPYEUYH2GAGE&amp;dib=eyJ2IjoiMSJ9._9ckCTHJEab9CL0OUzJ_CgWENjr054Lf1eM_UZShtdttvn8BASV4HktjpsA7W0N7BJUVEXOhQMUAiAF78hhXsfZRc6GhSvGbv4lgjHxMz61Ba-gXr_pXm1ogcyvcw-TfGIlprJOAYCTVXa32Q4s2TKzxCoPh4IChCzfnS87HxA33YUqEXDP-IUpN9InXc19e67upbadBT5WwnZBR8xFKUpFwVpfux1TXay8o6atT0--C3gJdzrC7Sm6iwugm5_aYZGgwWnrbGUT7r6KPIaqOmRJv-E1PvCEDzAgbcTw765Y.nwKyJzon0RPsQSPTSAKWl3g_g1aQLbMg4uSktTGATFM&amp;dib_tag=se&amp;keywords=radiomaster+tx16s&amp;qid=1758135401&amp;sprefix=radiomaster+tx16s+battery+6200mah%2Caps%2C344&amp;sr=8-2" TargetMode="External"/><Relationship Id="rId15" Type="http://schemas.openxmlformats.org/officeDocument/2006/relationships/hyperlink" Target="https://www.getfpv.com/radiomaster-bandit-915mhz-t-antenna-rp-sma.html?gc_id=21805212387&amp;g_special_campaign=true&amp;gad_source=1&amp;gad_campaignid=21805212387&amp;gbraid=0AAAAAD8cN5KpEvW56Htkj5MoubPFV5jw7&amp;gclid=Cj0KCQjwrc7GBhCfARIsAHGcW5XTDBipXvHif6-BUV4LAkhAShcrDx-oRn3Z3GGNl6MRkMYRMvR2HMcaAqg5EALw_wcB" TargetMode="External"/><Relationship Id="rId10" Type="http://schemas.openxmlformats.org/officeDocument/2006/relationships/hyperlink" Target="https://www.amazon.com/PATRIOT-P300-2280-256GB-PCIe/dp/B082BWY2C2/ref=sr_1_1_sspa?crid=37EZNLH16XZ9W&amp;dib=eyJ2IjoiMSJ9.P9qWNJCLVicUHw0v7xREjws8DlKMz_NjPoz2ACfFLsTE3f1xFVwZjl_zqYRrykDXvGmygkiv7fFgmjxegcllK3oZUkiXTLfudAZgj9eHb2PFbiPVcmw858YkwcoHcDSApGsKsx437KpZml5cm72tVaBe_IAxWCepVKi2tl8nxslvtQunwq6o_PoMXedqgZNbMIX42Z3LlI6bV6JTtdT1ei36dFDoxojGqh301qJiKL4nNE5A16nrY17d3Fp5bM2-Y7-ZBhDYGUc6c971Tv830MeBqEOuTLLeuNHYKVkHLrQ.42mh4hBpQugHREnSo3mpSqPGGi3xh36jXNE_xORB3Xs&amp;dib_tag=se&amp;keywords=nvme+ssd&amp;qid=1758216088&amp;s=electronics&amp;sprefix=nvme+ssd%2Celectronics%2C555&amp;sr=1-1-spons&amp;sp_csd=d2lkZ2V0TmFtZT1zcF9hdGY&amp;psc=1" TargetMode="External"/><Relationship Id="rId4" Type="http://schemas.openxmlformats.org/officeDocument/2006/relationships/hyperlink" Target="https://www.amazon.com/Readytosky-6Pairs-Propeller-Quadcopter-Multirotor/dp/B0823NNTKD" TargetMode="External"/><Relationship Id="rId9" Type="http://schemas.openxmlformats.org/officeDocument/2006/relationships/hyperlink" Target="https://www.digikey.com/en/products/detail/susumu/PAT0510S-C-10DB-T10/948830" TargetMode="External"/><Relationship Id="rId14" Type="http://schemas.openxmlformats.org/officeDocument/2006/relationships/hyperlink" Target="https://www.amazon.com/Environment-Interface-Measuring-Temperature-Humidity/dp/B08ZM2GTY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97A0-F69B-4341-976A-02AFDDB5D6C1}">
  <sheetPr>
    <pageSetUpPr fitToPage="1"/>
  </sheetPr>
  <dimension ref="A1:N50"/>
  <sheetViews>
    <sheetView topLeftCell="D11" workbookViewId="0">
      <selection activeCell="D11" sqref="D11"/>
    </sheetView>
  </sheetViews>
  <sheetFormatPr defaultRowHeight="15.75"/>
  <cols>
    <col min="1" max="1" width="21.5703125" style="24" customWidth="1"/>
    <col min="2" max="2" width="41.140625" style="14" customWidth="1"/>
    <col min="3" max="3" width="17.42578125" style="72" customWidth="1"/>
    <col min="4" max="4" width="24.7109375" customWidth="1"/>
    <col min="5" max="6" width="12.85546875" style="28" customWidth="1"/>
    <col min="7" max="7" width="14.28515625" customWidth="1"/>
    <col min="8" max="8" width="15.7109375" customWidth="1"/>
    <col min="9" max="9" width="10.28515625" bestFit="1" customWidth="1"/>
  </cols>
  <sheetData>
    <row r="1" spans="1:14">
      <c r="A1" s="62" t="s">
        <v>0</v>
      </c>
      <c r="B1" s="44" t="s">
        <v>1</v>
      </c>
      <c r="C1" s="69" t="s">
        <v>2</v>
      </c>
      <c r="D1" s="45" t="s">
        <v>3</v>
      </c>
      <c r="E1" s="47" t="s">
        <v>4</v>
      </c>
      <c r="F1" s="48" t="s">
        <v>5</v>
      </c>
    </row>
    <row r="2" spans="1:14" ht="28.9">
      <c r="A2" s="66" t="s">
        <v>6</v>
      </c>
      <c r="B2" s="59" t="s">
        <v>7</v>
      </c>
      <c r="C2" s="78">
        <v>120</v>
      </c>
      <c r="D2" s="79" t="s">
        <v>8</v>
      </c>
      <c r="E2" s="80" t="s">
        <v>9</v>
      </c>
      <c r="F2" s="103" t="s">
        <v>9</v>
      </c>
    </row>
    <row r="3" spans="1:14">
      <c r="A3" s="89" t="s">
        <v>10</v>
      </c>
      <c r="B3" s="56" t="s">
        <v>11</v>
      </c>
      <c r="C3" s="77">
        <v>9.98</v>
      </c>
      <c r="D3" s="90" t="s">
        <v>12</v>
      </c>
      <c r="E3" s="57" t="s">
        <v>13</v>
      </c>
      <c r="F3" s="58" t="s">
        <v>13</v>
      </c>
    </row>
    <row r="4" spans="1:14" ht="15.75" customHeight="1"/>
    <row r="5" spans="1:14" ht="14.25">
      <c r="A5" s="129" t="s">
        <v>14</v>
      </c>
      <c r="B5" s="130"/>
      <c r="C5" s="130"/>
      <c r="D5" s="130"/>
      <c r="E5" s="130"/>
      <c r="F5" s="131"/>
    </row>
    <row r="6" spans="1:14">
      <c r="A6" s="63" t="s">
        <v>15</v>
      </c>
      <c r="B6" s="27" t="s">
        <v>16</v>
      </c>
      <c r="C6" s="70">
        <v>21.99</v>
      </c>
      <c r="D6" s="87" t="s">
        <v>17</v>
      </c>
      <c r="E6" s="29" t="s">
        <v>9</v>
      </c>
      <c r="F6" s="35" t="s">
        <v>9</v>
      </c>
    </row>
    <row r="7" spans="1:14">
      <c r="A7" s="89" t="s">
        <v>18</v>
      </c>
      <c r="B7" s="56" t="s">
        <v>19</v>
      </c>
      <c r="C7" s="77">
        <v>90</v>
      </c>
      <c r="D7" s="90" t="s">
        <v>17</v>
      </c>
      <c r="E7" s="57" t="s">
        <v>9</v>
      </c>
      <c r="F7" s="58" t="s">
        <v>9</v>
      </c>
    </row>
    <row r="8" spans="1:14" ht="15.75" customHeight="1">
      <c r="C8" s="81"/>
      <c r="D8" s="28"/>
      <c r="E8" s="55"/>
      <c r="F8" s="55"/>
    </row>
    <row r="9" spans="1:14">
      <c r="A9" s="126" t="s">
        <v>20</v>
      </c>
      <c r="B9" s="127"/>
      <c r="C9" s="127"/>
      <c r="D9" s="127"/>
      <c r="E9" s="127"/>
      <c r="F9" s="128"/>
      <c r="I9" s="24"/>
      <c r="J9" s="82"/>
      <c r="K9" s="83"/>
      <c r="L9" s="84"/>
      <c r="M9" s="85"/>
      <c r="N9" s="85"/>
    </row>
    <row r="10" spans="1:14" ht="28.9">
      <c r="A10" s="63" t="s">
        <v>21</v>
      </c>
      <c r="B10" s="27" t="s">
        <v>22</v>
      </c>
      <c r="C10" s="70">
        <v>46</v>
      </c>
      <c r="D10" s="87" t="s">
        <v>17</v>
      </c>
      <c r="E10" s="29" t="s">
        <v>9</v>
      </c>
      <c r="F10" s="35" t="s">
        <v>9</v>
      </c>
      <c r="I10" s="24"/>
      <c r="J10" s="82"/>
      <c r="K10" s="83"/>
      <c r="L10" s="84"/>
      <c r="M10" s="85"/>
      <c r="N10" s="85"/>
    </row>
    <row r="11" spans="1:14" ht="28.9">
      <c r="A11" s="89" t="s">
        <v>23</v>
      </c>
      <c r="B11" s="56" t="s">
        <v>22</v>
      </c>
      <c r="C11" s="77">
        <v>43</v>
      </c>
      <c r="D11" s="90" t="s">
        <v>24</v>
      </c>
      <c r="E11" s="57" t="s">
        <v>9</v>
      </c>
      <c r="F11" s="58" t="s">
        <v>9</v>
      </c>
    </row>
    <row r="12" spans="1:14">
      <c r="A12" s="94"/>
      <c r="B12" s="95"/>
      <c r="C12" s="96"/>
      <c r="D12" s="97"/>
      <c r="E12" s="98"/>
      <c r="F12" s="98"/>
      <c r="I12" s="24"/>
      <c r="J12" s="82"/>
      <c r="K12" s="83"/>
      <c r="L12" s="84"/>
      <c r="M12" s="85"/>
      <c r="N12" s="85"/>
    </row>
    <row r="13" spans="1:14">
      <c r="A13" s="126" t="s">
        <v>25</v>
      </c>
      <c r="B13" s="127"/>
      <c r="C13" s="127"/>
      <c r="D13" s="127"/>
      <c r="E13" s="127"/>
      <c r="F13" s="128"/>
      <c r="I13" s="24"/>
      <c r="J13" s="14"/>
      <c r="K13" s="81"/>
      <c r="L13" s="84"/>
      <c r="M13" s="85"/>
      <c r="N13" s="85"/>
    </row>
    <row r="14" spans="1:14" ht="57.4">
      <c r="A14" s="63" t="s">
        <v>26</v>
      </c>
      <c r="B14" s="27" t="s">
        <v>27</v>
      </c>
      <c r="C14" s="65">
        <v>2387</v>
      </c>
      <c r="D14" s="87" t="s">
        <v>28</v>
      </c>
      <c r="E14" s="29"/>
      <c r="F14" s="35"/>
      <c r="I14" s="24"/>
      <c r="J14" s="14"/>
      <c r="K14" s="81"/>
      <c r="L14" s="84"/>
      <c r="M14" s="85"/>
      <c r="N14" s="85"/>
    </row>
    <row r="15" spans="1:14" ht="28.9">
      <c r="A15" s="89" t="s">
        <v>29</v>
      </c>
      <c r="B15" s="56" t="s">
        <v>30</v>
      </c>
      <c r="C15" s="91">
        <v>625</v>
      </c>
      <c r="D15" s="90" t="s">
        <v>31</v>
      </c>
      <c r="E15" s="57"/>
      <c r="F15" s="58"/>
    </row>
    <row r="16" spans="1:14">
      <c r="A16" s="94"/>
      <c r="B16" s="95"/>
      <c r="C16" s="96"/>
      <c r="D16" s="97"/>
      <c r="E16" s="98"/>
      <c r="F16" s="98"/>
      <c r="I16" s="24"/>
      <c r="J16" s="14"/>
      <c r="K16" s="86"/>
      <c r="L16" s="84"/>
      <c r="M16" s="85"/>
      <c r="N16" s="85"/>
    </row>
    <row r="17" spans="1:14">
      <c r="A17" s="132" t="s">
        <v>32</v>
      </c>
      <c r="B17" s="133"/>
      <c r="C17" s="133"/>
      <c r="D17" s="133"/>
      <c r="E17" s="133"/>
      <c r="F17" s="134"/>
      <c r="I17" s="24"/>
      <c r="J17" s="14"/>
      <c r="K17" s="81"/>
      <c r="L17" s="84"/>
      <c r="M17" s="85"/>
      <c r="N17" s="85"/>
    </row>
    <row r="18" spans="1:14" ht="43.15">
      <c r="A18" s="66" t="s">
        <v>33</v>
      </c>
      <c r="B18" s="59" t="s">
        <v>34</v>
      </c>
      <c r="C18" s="74">
        <v>19.899999999999999</v>
      </c>
      <c r="D18" s="88" t="s">
        <v>35</v>
      </c>
      <c r="E18" s="60" t="s">
        <v>9</v>
      </c>
      <c r="F18" s="61" t="s">
        <v>9</v>
      </c>
    </row>
    <row r="19" spans="1:14">
      <c r="A19" s="64" t="s">
        <v>36</v>
      </c>
      <c r="B19" s="38" t="s">
        <v>37</v>
      </c>
      <c r="C19" s="92">
        <v>34.950000000000003</v>
      </c>
      <c r="D19" s="93" t="s">
        <v>38</v>
      </c>
      <c r="E19" s="39"/>
      <c r="F19" s="40"/>
    </row>
    <row r="20" spans="1:14">
      <c r="A20" s="94"/>
      <c r="B20" s="95"/>
      <c r="C20" s="96"/>
      <c r="D20" s="97"/>
      <c r="E20" s="98"/>
      <c r="F20" s="98"/>
    </row>
    <row r="21" spans="1:14" ht="14.25">
      <c r="A21" s="126" t="s">
        <v>39</v>
      </c>
      <c r="B21" s="127"/>
      <c r="C21" s="127"/>
      <c r="D21" s="127"/>
      <c r="E21" s="127"/>
      <c r="F21" s="128"/>
    </row>
    <row r="22" spans="1:14" ht="43.15">
      <c r="A22" s="67" t="s">
        <v>40</v>
      </c>
      <c r="B22" s="68" t="s">
        <v>41</v>
      </c>
      <c r="C22" s="75">
        <v>19.489999999999998</v>
      </c>
      <c r="D22" s="99" t="s">
        <v>42</v>
      </c>
      <c r="E22" s="60" t="s">
        <v>9</v>
      </c>
      <c r="F22" s="61" t="s">
        <v>9</v>
      </c>
    </row>
    <row r="23" spans="1:14">
      <c r="A23" s="63" t="s">
        <v>43</v>
      </c>
      <c r="B23" s="27" t="s">
        <v>44</v>
      </c>
      <c r="C23" s="100">
        <v>12.99</v>
      </c>
      <c r="D23" s="87" t="s">
        <v>45</v>
      </c>
      <c r="E23" s="29"/>
      <c r="F23" s="35"/>
    </row>
    <row r="24" spans="1:14">
      <c r="A24" s="63" t="s">
        <v>46</v>
      </c>
      <c r="B24" s="27" t="s">
        <v>47</v>
      </c>
      <c r="C24" s="70">
        <v>7.86</v>
      </c>
      <c r="D24" s="87" t="s">
        <v>48</v>
      </c>
      <c r="E24" s="29"/>
      <c r="F24" s="35"/>
    </row>
    <row r="25" spans="1:14">
      <c r="A25" s="63" t="s">
        <v>46</v>
      </c>
      <c r="B25" s="27" t="s">
        <v>49</v>
      </c>
      <c r="C25" s="70">
        <v>11.57</v>
      </c>
      <c r="D25" s="87" t="s">
        <v>48</v>
      </c>
      <c r="E25" s="29"/>
      <c r="F25" s="35"/>
    </row>
    <row r="26" spans="1:14">
      <c r="A26" s="64" t="s">
        <v>43</v>
      </c>
      <c r="B26" s="38"/>
      <c r="C26" s="73"/>
      <c r="D26" s="93" t="s">
        <v>50</v>
      </c>
      <c r="E26" s="39"/>
      <c r="F26" s="40" t="s">
        <v>51</v>
      </c>
    </row>
    <row r="27" spans="1:14">
      <c r="A27" s="94"/>
      <c r="B27" s="95"/>
      <c r="C27" s="96"/>
      <c r="D27" s="97"/>
      <c r="E27" s="98"/>
      <c r="F27" s="98"/>
    </row>
    <row r="28" spans="1:14" ht="14.25">
      <c r="A28" s="126" t="s">
        <v>52</v>
      </c>
      <c r="B28" s="127"/>
      <c r="C28" s="127"/>
      <c r="D28" s="127"/>
      <c r="E28" s="127"/>
      <c r="F28" s="128"/>
    </row>
    <row r="29" spans="1:14" ht="28.9">
      <c r="A29" s="66" t="s">
        <v>53</v>
      </c>
      <c r="B29" s="59" t="s">
        <v>54</v>
      </c>
      <c r="C29" s="74">
        <v>9.99</v>
      </c>
      <c r="D29" s="88" t="s">
        <v>12</v>
      </c>
      <c r="E29" s="60" t="s">
        <v>9</v>
      </c>
      <c r="F29" s="61" t="s">
        <v>9</v>
      </c>
    </row>
    <row r="30" spans="1:14">
      <c r="A30" s="63" t="s">
        <v>55</v>
      </c>
      <c r="B30" s="27" t="s">
        <v>56</v>
      </c>
      <c r="C30" s="70">
        <v>80</v>
      </c>
      <c r="D30" s="87" t="s">
        <v>17</v>
      </c>
      <c r="E30" s="29" t="s">
        <v>9</v>
      </c>
      <c r="F30" s="35" t="s">
        <v>9</v>
      </c>
    </row>
    <row r="31" spans="1:14">
      <c r="A31" s="89" t="s">
        <v>57</v>
      </c>
      <c r="B31" s="56" t="s">
        <v>56</v>
      </c>
      <c r="C31" s="77">
        <v>0</v>
      </c>
      <c r="D31" s="90" t="s">
        <v>58</v>
      </c>
      <c r="E31" s="57" t="s">
        <v>9</v>
      </c>
      <c r="F31" s="58" t="s">
        <v>9</v>
      </c>
    </row>
    <row r="32" spans="1:14">
      <c r="A32" s="94"/>
      <c r="B32" s="95"/>
      <c r="C32" s="96"/>
      <c r="D32" s="97"/>
      <c r="E32" s="98"/>
      <c r="F32" s="98"/>
    </row>
    <row r="33" spans="1:6" ht="14.25">
      <c r="A33" s="126" t="s">
        <v>59</v>
      </c>
      <c r="B33" s="127"/>
      <c r="C33" s="127"/>
      <c r="D33" s="127"/>
      <c r="E33" s="127"/>
      <c r="F33" s="128"/>
    </row>
    <row r="34" spans="1:6">
      <c r="A34" s="63" t="s">
        <v>60</v>
      </c>
      <c r="B34" s="27" t="s">
        <v>61</v>
      </c>
      <c r="C34" s="71">
        <v>0.95</v>
      </c>
      <c r="D34" s="87" t="s">
        <v>62</v>
      </c>
      <c r="E34" s="29" t="s">
        <v>9</v>
      </c>
      <c r="F34" s="35" t="s">
        <v>9</v>
      </c>
    </row>
    <row r="35" spans="1:6" ht="71.25">
      <c r="A35" s="102" t="s">
        <v>63</v>
      </c>
      <c r="B35" s="59" t="s">
        <v>64</v>
      </c>
      <c r="C35" s="76">
        <v>78.099999999999994</v>
      </c>
      <c r="D35" s="88" t="s">
        <v>65</v>
      </c>
      <c r="E35" s="60"/>
      <c r="F35" s="61" t="s">
        <v>9</v>
      </c>
    </row>
    <row r="36" spans="1:6" ht="57">
      <c r="A36" s="109" t="s">
        <v>66</v>
      </c>
      <c r="B36" s="27" t="s">
        <v>67</v>
      </c>
      <c r="C36" s="108">
        <v>52.05</v>
      </c>
      <c r="D36" s="104" t="s">
        <v>65</v>
      </c>
      <c r="E36" s="7"/>
      <c r="F36" s="105"/>
    </row>
    <row r="37" spans="1:6">
      <c r="A37" s="63" t="s">
        <v>68</v>
      </c>
      <c r="B37" s="27" t="s">
        <v>69</v>
      </c>
      <c r="C37" s="70">
        <v>0.12</v>
      </c>
      <c r="D37" s="87" t="s">
        <v>48</v>
      </c>
      <c r="E37" s="29" t="s">
        <v>9</v>
      </c>
      <c r="F37" s="35"/>
    </row>
    <row r="38" spans="1:6" ht="28.9">
      <c r="A38" s="66" t="s">
        <v>68</v>
      </c>
      <c r="B38" s="59" t="s">
        <v>70</v>
      </c>
      <c r="C38" s="74">
        <v>41.62</v>
      </c>
      <c r="D38" s="88" t="s">
        <v>65</v>
      </c>
      <c r="E38" s="60"/>
      <c r="F38" s="61"/>
    </row>
    <row r="39" spans="1:6">
      <c r="A39" s="63" t="s">
        <v>68</v>
      </c>
      <c r="B39" s="27" t="s">
        <v>71</v>
      </c>
      <c r="C39" s="70">
        <v>13.05</v>
      </c>
      <c r="D39" s="87" t="s">
        <v>65</v>
      </c>
      <c r="E39" s="29"/>
      <c r="F39" s="35"/>
    </row>
    <row r="40" spans="1:6" ht="85.5">
      <c r="A40" s="102" t="s">
        <v>72</v>
      </c>
      <c r="B40" s="59" t="s">
        <v>73</v>
      </c>
      <c r="C40" s="74">
        <v>125.17</v>
      </c>
      <c r="D40" s="88" t="s">
        <v>65</v>
      </c>
      <c r="E40" s="60"/>
      <c r="F40" s="61"/>
    </row>
    <row r="41" spans="1:6" ht="85.5">
      <c r="A41" s="110" t="s">
        <v>74</v>
      </c>
      <c r="B41" s="38" t="s">
        <v>73</v>
      </c>
      <c r="C41" s="111">
        <v>375.64</v>
      </c>
      <c r="D41" s="112" t="s">
        <v>65</v>
      </c>
      <c r="E41" s="106"/>
      <c r="F41" s="107"/>
    </row>
    <row r="43" spans="1:6" ht="14.25">
      <c r="A43" s="129" t="s">
        <v>75</v>
      </c>
      <c r="B43" s="130"/>
      <c r="C43" s="130"/>
      <c r="D43" s="130"/>
      <c r="E43" s="130"/>
      <c r="F43" s="131"/>
    </row>
    <row r="44" spans="1:6" ht="28.9">
      <c r="A44" s="63" t="s">
        <v>76</v>
      </c>
      <c r="B44" s="27" t="s">
        <v>77</v>
      </c>
      <c r="C44" s="70">
        <v>13</v>
      </c>
      <c r="D44" s="87" t="s">
        <v>17</v>
      </c>
      <c r="E44" s="29" t="s">
        <v>9</v>
      </c>
      <c r="F44" s="35" t="s">
        <v>9</v>
      </c>
    </row>
    <row r="45" spans="1:6" ht="28.9">
      <c r="A45" s="63" t="s">
        <v>78</v>
      </c>
      <c r="B45" s="27" t="s">
        <v>79</v>
      </c>
      <c r="C45" s="70">
        <v>18.71</v>
      </c>
      <c r="D45" s="87" t="s">
        <v>65</v>
      </c>
      <c r="E45" s="29"/>
      <c r="F45" s="35"/>
    </row>
    <row r="46" spans="1:6" ht="43.15">
      <c r="A46" s="66" t="s">
        <v>80</v>
      </c>
      <c r="B46" s="59" t="s">
        <v>81</v>
      </c>
      <c r="C46" s="74">
        <v>5.98</v>
      </c>
      <c r="D46" s="88" t="s">
        <v>50</v>
      </c>
      <c r="E46" s="60"/>
      <c r="F46" s="61"/>
    </row>
    <row r="47" spans="1:6">
      <c r="A47" s="64" t="s">
        <v>82</v>
      </c>
      <c r="B47" s="38" t="s">
        <v>83</v>
      </c>
      <c r="C47" s="111">
        <v>6.99</v>
      </c>
      <c r="D47" s="112" t="s">
        <v>8</v>
      </c>
      <c r="E47" s="106"/>
      <c r="F47" s="107"/>
    </row>
    <row r="49" spans="1:6" ht="14.25">
      <c r="A49" s="126" t="s">
        <v>84</v>
      </c>
      <c r="B49" s="127"/>
      <c r="C49" s="127"/>
      <c r="D49" s="127"/>
      <c r="E49" s="127"/>
      <c r="F49" s="128"/>
    </row>
    <row r="50" spans="1:6">
      <c r="A50" s="89" t="s">
        <v>85</v>
      </c>
      <c r="B50" s="56" t="s">
        <v>86</v>
      </c>
      <c r="C50" s="77">
        <v>12.79</v>
      </c>
      <c r="D50" s="90" t="s">
        <v>12</v>
      </c>
      <c r="E50" s="57"/>
      <c r="F50" s="58"/>
    </row>
  </sheetData>
  <mergeCells count="9">
    <mergeCell ref="A28:F28"/>
    <mergeCell ref="A33:F33"/>
    <mergeCell ref="A43:F43"/>
    <mergeCell ref="A49:F49"/>
    <mergeCell ref="A5:F5"/>
    <mergeCell ref="A9:F9"/>
    <mergeCell ref="A13:F13"/>
    <mergeCell ref="A17:F17"/>
    <mergeCell ref="A21:F21"/>
  </mergeCells>
  <hyperlinks>
    <hyperlink ref="D34" r:id="rId1" xr:uid="{9D056489-80D5-4C9A-ACDF-036921DDAB21}"/>
    <hyperlink ref="D37" r:id="rId2" display="https://www.digikey.com/en/products/detail/susumu/PAT0510S-C-10DB-T10/948830" xr:uid="{DDC601F0-38B0-4D96-9EAB-5CF05B77CAFE}"/>
    <hyperlink ref="D6" r:id="rId3" display="https://www.amazon.com/PATRIOT-P300-2280-256GB-PCIe/dp/B082BWY2C2/ref=sr_1_1_sspa?crid=37EZNLH16XZ9W&amp;dib=eyJ2IjoiMSJ9.P9qWNJCLVicUHw0v7xREjws8DlKMz_NjPoz2ACfFLsTE3f1xFVwZjl_zqYRrykDXvGmygkiv7fFgmjxegcllK3oZUkiXTLfudAZgj9eHb2PFbiPVcmw858YkwcoHcDSApGsKsx437KpZml5cm72tVaBe_IAxWCepVKi2tl8nxslvtQunwq6o_PoMXedqgZNbMIX42Z3LlI6bV6JTtdT1ei36dFDoxojGqh301qJiKL4nNE5A16nrY17d3Fp5bM2-Y7-ZBhDYGUc6c971Tv830MeBqEOuTLLeuNHYKVkHLrQ.42mh4hBpQugHREnSo3mpSqPGGi3xh36jXNE_xORB3Xs&amp;dib_tag=se&amp;keywords=nvme+ssd&amp;qid=1758216088&amp;s=electronics&amp;sprefix=nvme+ssd%2Celectronics%2C555&amp;sr=1-1-spons&amp;sp_csd=d2lkZ2V0TmFtZT1zcF9hdGY&amp;psc=1" xr:uid="{AE631AF7-E936-48E6-8160-14762FF87331}"/>
    <hyperlink ref="D14" r:id="rId4" display="https://www.ettus.com/all-products/ub210-kit/" xr:uid="{44FA1219-2986-463E-A93E-8F4355B87B9F}"/>
    <hyperlink ref="D15" r:id="rId5" location="products" display="https://www.crowdsupply.com/lime-micro/limesdr#products" xr:uid="{362AAFB2-CECD-470E-A55C-D6D711C50A23}"/>
    <hyperlink ref="D18" r:id="rId6" display="https://heltec.org/project/wifi-lora-32-v3/" xr:uid="{AA6A1396-5DAC-4B2B-B96C-70E29BD14B81}"/>
    <hyperlink ref="D19" r:id="rId7" display="https://www.adafruit.com/product/3178?srsltid=AfmBOorAcATjt9ejJ5nRNlOyxpvw7U2Im-4Q9s4TpUBDgWjvSgB42jTi" xr:uid="{0FA2F99D-0DB0-4F56-B154-39B07028C983}"/>
    <hyperlink ref="D22" r:id="rId8" display="https://www.getfpv.com/radiomaster-bandit-915mhz-t-antenna-rp-sma.html?gc_id=21805212387&amp;g_special_campaign=true&amp;gad_source=1&amp;gad_campaignid=21805212387&amp;gbraid=0AAAAAD8cN5KpEvW56Htkj5MoubPFV5jw7&amp;gclid=Cj0KCQjwrc7GBhCfARIsAHGcW5XTDBipXvHif6-BUV4LAkhAShcrDx-oRn3Z3GGNl6MRkMYRMvR2HMcaAqg5EALw_wcB" xr:uid="{B67C8CC6-4793-4811-A635-14C4CD306F14}"/>
    <hyperlink ref="D10" r:id="rId9" xr:uid="{14EC947C-BE81-4421-AC15-5421B83D6789}"/>
    <hyperlink ref="D11" r:id="rId10" xr:uid="{869D9D34-2F1E-4AC9-B5C1-7762D30E0AD6}"/>
    <hyperlink ref="D23" r:id="rId11" display="https://pyrodrone.com/collections/915mhz/products/tbs-crossfire-stock-tx-v2-antenna" xr:uid="{5D175784-5115-45A6-8E7C-FB1349D9D7AF}"/>
    <hyperlink ref="D24" r:id="rId12" display="https://www.digikey.com/en/products/detail/te-connectivity-linx/ANT-916-CW-RCL-SMA/13147742?gclsrc=aw.ds&amp;gad_source=1&amp;gad_campaignid=20228387720&amp;gbraid=0AAAAADrbLliXgz6KqxYlR5MdAW2xGz-e5&amp;gclid=Cj0KCQjwl5jHBhDHARIsAB0Yqjw4KeVk5ni6mMG9SW1ew4UpBd0VliaD8Jjg_8LiYvL6y9S1NKNbahsaAhkFEALw_wcB" xr:uid="{1142D072-FFA6-478A-A654-877360524E1F}"/>
    <hyperlink ref="D25" r:id="rId13" display="https://www.digikey.com/en/products/detail/te-connectivity-linx/ANT-915-IPW1-RPS/15293389?gclsrc=aw.ds&amp;gad_source=1&amp;gad_campaignid=20228387720&amp;gbraid=0AAAAADrbLliXgz6KqxYlR5MdAW2xGz-e5&amp;gclid=Cj0KCQjwl5jHBhDHARIsAB0YqjwjvY92_aylBMWi6LgdNjlHKiJ11CPIm0wVwx8KtbaTA5ijJjStzsAaAhmuEALw_wcB" xr:uid="{13E66F2C-CA13-464F-B66D-999CFEA8B172}"/>
    <hyperlink ref="D7" r:id="rId14" xr:uid="{97EADFAE-15C9-4E9B-9614-F70404228BDD}"/>
    <hyperlink ref="D30" r:id="rId15" xr:uid="{4C0B4B58-1A00-4C28-B406-E12260B1D2AA}"/>
    <hyperlink ref="D39" r:id="rId16" display="https://www.minicircuits.com/WebStore/dashboard.html?model=BAT-5%2B" xr:uid="{5601E3DF-5F01-4405-8461-F4AB1261BAE4}"/>
    <hyperlink ref="D44" r:id="rId17" xr:uid="{D104178A-0385-4212-B05A-2ADE74C51572}"/>
    <hyperlink ref="D45" r:id="rId18" display="https://www.minicircuits.com/WebStore/dashboard.html?model=086-6SBSM%2B" xr:uid="{9276C1A2-81C4-4A87-876F-16A1AEB057A4}"/>
    <hyperlink ref="D50" r:id="rId19" display="https://www.amazon.com/OVERTURE-Filament-Consumables-Dimensional-Accuracy/dp/B07PGYHYV8/ref=sr_1_1_sspa?crid=2DV3YFOTFL1JL&amp;dib=eyJ2IjoiMSJ9.fXSAolwsB0y_lm7AA7aPBBlBcINk9HgcUQCN8SwzGIpXDmJKgRSjdWQvBRLz0mC6GzWs37JWMcrrlFpGv3tkxsSDXCXPRyCCwpuyxrj9Mho5OFvaRjV4_R9TfpeUBRkJhqna1z_FJ1ucSVOHETqKfAo0MKcYba-XcC-Av9VGitqDe-jZmA_2EB47VGBIlv_a4tjHwPO9G_7pLXyEYRK8dM6hUkkMKpm_gBoeJuAODXQ.EW6iZjHF7LZA4j8UeXRgV2tvr4dsbacCqCvvIoKHZVo&amp;dib_tag=se&amp;keywords=petg%2Bfilament&amp;qid=1759956199&amp;sprefix=PETG%2Caps%2C511&amp;sr=8-1-spons&amp;sp_csd=d2lkZ2V0TmFtZT1zcF9hdGY&amp;th=1" xr:uid="{CEE1C8B4-F239-47AA-B9AD-CB06CB822612}"/>
    <hyperlink ref="D26" r:id="rId20" xr:uid="{E9816A5D-0C16-4672-885C-B45088B49DF2}"/>
    <hyperlink ref="D2" r:id="rId21" xr:uid="{0D825B0F-3AC0-4C86-82D6-78F6A69C7C9A}"/>
    <hyperlink ref="D38" r:id="rId22" display="https://www.minicircuits.com/WebStore/dashboard.html?model=BW-S10W2%2B" xr:uid="{9A108FFD-708D-4794-BB9A-62DFE59D27B0}"/>
    <hyperlink ref="D29" r:id="rId23" display="https://www.amazon.com/10000mAh-Portable-Charger-External-Compatible/dp/B094Y1R46V/ref=sr_1_6?crid=2SAFM4ES5ZQ4E&amp;dib=eyJ2IjoiMSJ9.Zldm96C9fRNdfygh4V_jMoEIXyc7Aqk0Hcn5I8n7wg07s1FMSfNGA-Uu_h4CPFWNCoBY2gr3h4hpf0IdPthjsUHM-tKCYLQLnOQ1ilCr7qcqtOHEuF0gGgZqm9V5TAhgVUKCGLdxoP0EE4dwn9b7dGysRVgeNXrXNA2otc7K3pGPIMvP2PjHcbLAKZw7pFo4HJWxC4uecvQ0cd9hvcruYD2peWInv7N24XXGmW7J72c.glDmFtQ3BqKFC3zol-7po5UxvBuwZNAsMIMUFtuc0zI&amp;dib_tag=se&amp;keywords=usbc%2Bpower%2Bbank%2Bcheap&amp;qid=1760387449&amp;sprefix=usbc%2Bpower%2Bbank%2Bcheap%2Caps%2C137&amp;sr=8-6&amp;th=1" xr:uid="{6301AE64-15AB-4B20-878B-8D18120684F7}"/>
    <hyperlink ref="D3" r:id="rId24" display="https://www.amazon.com/Raspberry-Pi-Active-Cooler/dp/B0CLXZBR5P/ref=sr_1_3?dib=eyJ2IjoiMSJ9.yxdTGmMffH2iJhveQSAPuJ0u-KxLqhYS2of30QR-KP1zc-rMREpbaZRitRg7FViQaOp5ePdovPM9pCuD8tvluLuLPFtOOUZDVpyzjvbqFLPxx3Wk03SbGQRM_WTqRtFRQWZJz5SGKv5ZGxd_HtCduh772BcYzICdaVW6jNFRWGMzcOjLHiH-9CU9PwWEJLGuKwl5TrG0AjndRcq3uogH--g2jAy4uuIvV2otTNAofAs.SZn2MOq1BIUNqYbmszPi1rjk7ZW-lrU1z5nuaKf7Y9c&amp;dib_tag=se&amp;hvadid=693676808375&amp;hvdev=c&amp;hvexpln=67&amp;hvlocphy=9028893&amp;hvnetw=g&amp;hvocijid=319967031151293305--&amp;hvqmt=b&amp;hvrand=319967031151293305&amp;hvtargid=kwd-2428256207408&amp;hydadcr=24389_13533833&amp;keywords=raspberry+pi+5+fan+and+heatsink&amp;mcid=0cd036bf6d34306fbd2a3fab11f8fda9&amp;qid=1760387685&amp;sr=8-3" xr:uid="{1F22E584-0D7A-4D85-8860-940C7DD16240}"/>
    <hyperlink ref="D46" r:id="rId25" display="https://www.getfpv.com/rp-sma-to-ufl-cable-200mm.html?gc_id=21805212387&amp;g_special_campaign=true&amp;gad_source=1&amp;gad_campaignid=21805212387&amp;gbraid=0AAAAAD8cN5LrjDDc3fNlhBr6ecZlv_FKD&amp;gclid=CjwKCAjwxrLHBhA2EiwAu9EdM1l24Rom3nlUDxzi_eBSXV6TnLf56kGlCTh-m0EAnOeyVZo1fbJX2xoCFQMQAvD_BwE" xr:uid="{3C80501F-6E9F-4BF8-A6B2-5190E5433BA0}"/>
    <hyperlink ref="D47" r:id="rId26" display="https://www.digikey.com/en/products/detail/microchip-technology/RN-UFL-SMA6/2094296?gad_source=1&amp;gad_campaignid=20050284185&amp;gbraid=0AAAAADrbLlgxWhnLYzRt-uyH9jfNMTshX&amp;gclid=CjwKCAjwxrLHBhA2EiwAu9EdMxtltaXhtlzFtuyQlzg2aAEf9KHGxJ0KGPIq0zIRwDOM9le3b9a3fBoCBEIQAvD_BwE&amp;gclsrc=aw.ds" xr:uid="{C7BC4DF9-C7CF-474A-9A9B-E504F97A83AA}"/>
    <hyperlink ref="D35" r:id="rId27" display="https://www.minicircuits.com/WebStore/dashboard.html?model=ZX75BP-942-S%2B" xr:uid="{33D6819D-D29B-4E33-B1B7-6B42F460E194}"/>
    <hyperlink ref="D36" r:id="rId28" display="https://www.minicircuits.com/WebStore/dashboard.html?model=VBFZ-925-S%2B" xr:uid="{72F25719-BAE7-450C-B2CD-4ABEFD18BE2F}"/>
    <hyperlink ref="D40" r:id="rId29" display="https://www.minicircuits.com/WebStore/dashboard.html?model=ZFL-1000LN%2B" xr:uid="{ACD3521D-89F0-4BA3-A900-2F568C571B0B}"/>
    <hyperlink ref="D41" r:id="rId30" display="https://www.minicircuits.com/WebStore/dashboard.html?model=ZEL-0812LN" xr:uid="{59081B91-0034-4A19-AAE8-B0D58387338E}"/>
  </hyperlinks>
  <pageMargins left="0.7" right="0.7" top="0.75" bottom="0.75" header="0.3" footer="0.3"/>
  <pageSetup scale="54" orientation="portrait"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94009-8F53-4B9C-911E-17B6DAF47772}">
  <sheetPr>
    <pageSetUpPr fitToPage="1"/>
  </sheetPr>
  <dimension ref="A1:F5"/>
  <sheetViews>
    <sheetView workbookViewId="0">
      <selection sqref="A1:F1048576"/>
    </sheetView>
  </sheetViews>
  <sheetFormatPr defaultRowHeight="15" customHeight="1"/>
  <cols>
    <col min="1" max="1" width="23" customWidth="1"/>
    <col min="2" max="2" width="35" customWidth="1"/>
    <col min="3" max="3" width="47.140625" customWidth="1"/>
    <col min="4" max="4" width="12.5703125" customWidth="1"/>
    <col min="5" max="5" width="55.85546875" customWidth="1"/>
    <col min="6" max="6" width="12.140625" customWidth="1"/>
  </cols>
  <sheetData>
    <row r="1" spans="1:6" s="1" customFormat="1" ht="42" customHeight="1">
      <c r="A1" s="2" t="s">
        <v>87</v>
      </c>
      <c r="B1" s="3" t="s">
        <v>88</v>
      </c>
      <c r="C1" s="4" t="s">
        <v>89</v>
      </c>
      <c r="D1" s="4" t="s">
        <v>90</v>
      </c>
      <c r="E1" s="4" t="s">
        <v>91</v>
      </c>
      <c r="F1" s="4" t="s">
        <v>92</v>
      </c>
    </row>
    <row r="2" spans="1:6" ht="14.25">
      <c r="A2" s="5" t="s">
        <v>93</v>
      </c>
      <c r="B2" s="11"/>
      <c r="C2" s="11"/>
      <c r="D2" s="6"/>
      <c r="E2" s="11"/>
      <c r="F2" s="7"/>
    </row>
    <row r="3" spans="1:6" ht="14.25">
      <c r="A3" s="8" t="s">
        <v>94</v>
      </c>
      <c r="B3" s="12"/>
      <c r="C3" s="13"/>
      <c r="D3" s="9"/>
      <c r="E3" s="12"/>
      <c r="F3" s="10"/>
    </row>
    <row r="4" spans="1:6" s="14" customFormat="1" ht="81" customHeight="1">
      <c r="A4" s="15" t="s">
        <v>87</v>
      </c>
      <c r="B4" s="15" t="s">
        <v>95</v>
      </c>
      <c r="C4" s="15" t="s">
        <v>96</v>
      </c>
      <c r="D4" s="15" t="s">
        <v>97</v>
      </c>
      <c r="E4" s="15" t="s">
        <v>98</v>
      </c>
      <c r="F4" s="15" t="s">
        <v>99</v>
      </c>
    </row>
    <row r="5" spans="1:6" ht="15" customHeight="1">
      <c r="B5" s="1"/>
    </row>
  </sheetData>
  <pageMargins left="0.7" right="0.7" top="0.75" bottom="0.75" header="0.3" footer="0.3"/>
  <pageSetup scale="6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C7A9F-6573-40D9-9625-006CCAB32C20}">
  <dimension ref="A1:I21"/>
  <sheetViews>
    <sheetView workbookViewId="0">
      <selection activeCell="A9" sqref="A9"/>
    </sheetView>
  </sheetViews>
  <sheetFormatPr defaultRowHeight="14.25"/>
  <cols>
    <col min="1" max="1" width="21.5703125" style="14" customWidth="1"/>
    <col min="2" max="2" width="41.140625" style="14" customWidth="1"/>
    <col min="3" max="3" width="17.42578125" customWidth="1"/>
    <col min="4" max="4" width="24.7109375" customWidth="1"/>
    <col min="5" max="6" width="12.85546875" style="28" customWidth="1"/>
    <col min="7" max="7" width="14.28515625" customWidth="1"/>
    <col min="8" max="8" width="15.7109375" customWidth="1"/>
    <col min="9" max="9" width="10.28515625" bestFit="1" customWidth="1"/>
  </cols>
  <sheetData>
    <row r="1" spans="1:9">
      <c r="A1" s="43" t="s">
        <v>0</v>
      </c>
      <c r="B1" s="44" t="s">
        <v>1</v>
      </c>
      <c r="C1" s="45" t="s">
        <v>2</v>
      </c>
      <c r="D1" s="46" t="s">
        <v>3</v>
      </c>
      <c r="E1" s="47" t="s">
        <v>4</v>
      </c>
      <c r="F1" s="48" t="s">
        <v>5</v>
      </c>
    </row>
    <row r="2" spans="1:9" ht="28.5">
      <c r="A2" s="34" t="s">
        <v>100</v>
      </c>
      <c r="B2" s="26" t="s">
        <v>101</v>
      </c>
      <c r="C2" s="30">
        <v>795</v>
      </c>
      <c r="D2" s="41" t="s">
        <v>102</v>
      </c>
      <c r="E2" s="29" t="s">
        <v>9</v>
      </c>
      <c r="F2" s="35" t="s">
        <v>9</v>
      </c>
      <c r="H2" s="32" t="s">
        <v>103</v>
      </c>
      <c r="I2" s="33">
        <f>SUM(C2:C18)</f>
        <v>1582.7900000000002</v>
      </c>
    </row>
    <row r="3" spans="1:9">
      <c r="A3" s="34" t="s">
        <v>104</v>
      </c>
      <c r="B3" s="26" t="s">
        <v>105</v>
      </c>
      <c r="C3" s="30">
        <v>17</v>
      </c>
      <c r="D3" s="41" t="s">
        <v>17</v>
      </c>
      <c r="E3" s="29" t="s">
        <v>9</v>
      </c>
      <c r="F3" s="35" t="s">
        <v>9</v>
      </c>
    </row>
    <row r="4" spans="1:9" ht="28.5">
      <c r="A4" s="34" t="s">
        <v>106</v>
      </c>
      <c r="B4" s="26" t="s">
        <v>107</v>
      </c>
      <c r="C4" s="30">
        <v>249</v>
      </c>
      <c r="D4" s="41" t="s">
        <v>17</v>
      </c>
      <c r="E4" s="29" t="s">
        <v>9</v>
      </c>
      <c r="F4" s="35" t="s">
        <v>9</v>
      </c>
    </row>
    <row r="5" spans="1:9">
      <c r="A5" s="36" t="s">
        <v>55</v>
      </c>
      <c r="B5" s="27" t="s">
        <v>56</v>
      </c>
      <c r="C5" s="31">
        <v>80</v>
      </c>
      <c r="D5" s="41" t="s">
        <v>17</v>
      </c>
      <c r="E5" s="29" t="s">
        <v>9</v>
      </c>
      <c r="F5" s="35" t="s">
        <v>9</v>
      </c>
    </row>
    <row r="6" spans="1:9" ht="28.5">
      <c r="A6" s="34" t="s">
        <v>108</v>
      </c>
      <c r="B6" s="27" t="s">
        <v>109</v>
      </c>
      <c r="C6" s="31">
        <v>260</v>
      </c>
      <c r="D6" s="41" t="s">
        <v>17</v>
      </c>
      <c r="E6" s="29" t="s">
        <v>9</v>
      </c>
      <c r="F6" s="35" t="s">
        <v>9</v>
      </c>
    </row>
    <row r="7" spans="1:9" ht="28.5">
      <c r="A7" s="36" t="s">
        <v>110</v>
      </c>
      <c r="B7" s="27" t="s">
        <v>111</v>
      </c>
      <c r="C7" s="50">
        <v>32.89</v>
      </c>
      <c r="D7" s="41" t="s">
        <v>17</v>
      </c>
      <c r="E7" s="29" t="s">
        <v>9</v>
      </c>
      <c r="F7" s="35" t="s">
        <v>9</v>
      </c>
    </row>
    <row r="8" spans="1:9">
      <c r="A8" s="36" t="s">
        <v>112</v>
      </c>
      <c r="B8" s="27" t="s">
        <v>113</v>
      </c>
      <c r="C8" s="31">
        <v>28.97</v>
      </c>
      <c r="D8" s="41" t="s">
        <v>62</v>
      </c>
      <c r="E8" s="29" t="s">
        <v>9</v>
      </c>
      <c r="F8" s="35" t="s">
        <v>9</v>
      </c>
    </row>
    <row r="9" spans="1:9">
      <c r="A9" s="36" t="s">
        <v>60</v>
      </c>
      <c r="B9" s="27" t="s">
        <v>114</v>
      </c>
      <c r="C9" s="50">
        <v>0.95</v>
      </c>
      <c r="D9" s="41" t="s">
        <v>62</v>
      </c>
      <c r="E9" s="29" t="s">
        <v>9</v>
      </c>
      <c r="F9" s="35" t="s">
        <v>9</v>
      </c>
    </row>
    <row r="10" spans="1:9">
      <c r="A10" s="36" t="s">
        <v>68</v>
      </c>
      <c r="B10" s="27" t="s">
        <v>69</v>
      </c>
      <c r="C10" s="31">
        <v>0.12</v>
      </c>
      <c r="D10" s="41" t="s">
        <v>48</v>
      </c>
      <c r="E10" s="29" t="s">
        <v>9</v>
      </c>
      <c r="F10" s="35" t="s">
        <v>9</v>
      </c>
    </row>
    <row r="11" spans="1:9">
      <c r="A11" s="36" t="s">
        <v>15</v>
      </c>
      <c r="B11" s="27" t="s">
        <v>16</v>
      </c>
      <c r="C11" s="31">
        <v>21.99</v>
      </c>
      <c r="D11" s="41" t="s">
        <v>17</v>
      </c>
      <c r="E11" s="29" t="s">
        <v>9</v>
      </c>
      <c r="F11" s="35" t="s">
        <v>9</v>
      </c>
    </row>
    <row r="12" spans="1:9" ht="28.5">
      <c r="A12" s="36" t="s">
        <v>115</v>
      </c>
      <c r="B12" s="27"/>
      <c r="C12" s="31"/>
      <c r="D12" s="42"/>
      <c r="E12" s="29" t="s">
        <v>9</v>
      </c>
      <c r="F12" s="35" t="s">
        <v>9</v>
      </c>
    </row>
    <row r="13" spans="1:9">
      <c r="A13" s="36" t="s">
        <v>33</v>
      </c>
      <c r="B13" s="27" t="s">
        <v>116</v>
      </c>
      <c r="C13" s="31">
        <v>19.899999999999999</v>
      </c>
      <c r="D13" s="41" t="s">
        <v>35</v>
      </c>
      <c r="E13" s="29" t="s">
        <v>9</v>
      </c>
      <c r="F13" s="35" t="s">
        <v>9</v>
      </c>
    </row>
    <row r="14" spans="1:9">
      <c r="A14" s="36" t="s">
        <v>117</v>
      </c>
      <c r="B14" s="27" t="s">
        <v>118</v>
      </c>
      <c r="C14" s="31">
        <v>19.489999999999998</v>
      </c>
      <c r="D14" s="41" t="s">
        <v>42</v>
      </c>
      <c r="E14" s="29" t="s">
        <v>9</v>
      </c>
      <c r="F14" s="35" t="s">
        <v>9</v>
      </c>
    </row>
    <row r="15" spans="1:9">
      <c r="A15" s="36" t="s">
        <v>119</v>
      </c>
      <c r="B15" s="27" t="s">
        <v>120</v>
      </c>
      <c r="C15" s="31">
        <v>8.5399999999999991</v>
      </c>
      <c r="D15" s="41" t="s">
        <v>17</v>
      </c>
      <c r="E15" s="29" t="s">
        <v>9</v>
      </c>
      <c r="F15" s="35" t="s">
        <v>9</v>
      </c>
    </row>
    <row r="16" spans="1:9">
      <c r="A16" s="36" t="s">
        <v>121</v>
      </c>
      <c r="B16" s="27" t="s">
        <v>122</v>
      </c>
      <c r="C16" s="31">
        <v>2.94</v>
      </c>
      <c r="D16" s="41" t="s">
        <v>48</v>
      </c>
      <c r="E16" s="29" t="s">
        <v>9</v>
      </c>
      <c r="F16" s="35" t="s">
        <v>9</v>
      </c>
    </row>
    <row r="17" spans="1:6">
      <c r="A17" s="36" t="s">
        <v>123</v>
      </c>
      <c r="B17" s="27"/>
      <c r="C17" s="31"/>
      <c r="D17" s="42"/>
      <c r="E17" s="29" t="s">
        <v>9</v>
      </c>
      <c r="F17" s="35" t="s">
        <v>9</v>
      </c>
    </row>
    <row r="18" spans="1:6" ht="28.5">
      <c r="A18" s="37" t="s">
        <v>21</v>
      </c>
      <c r="B18" s="27" t="s">
        <v>22</v>
      </c>
      <c r="C18" s="52">
        <v>46</v>
      </c>
      <c r="D18" s="51" t="s">
        <v>17</v>
      </c>
      <c r="E18" s="39" t="s">
        <v>9</v>
      </c>
      <c r="F18" s="40" t="s">
        <v>9</v>
      </c>
    </row>
    <row r="19" spans="1:6">
      <c r="A19" s="49" t="s">
        <v>124</v>
      </c>
      <c r="B19" s="27" t="s">
        <v>125</v>
      </c>
      <c r="C19" s="53">
        <v>44.99</v>
      </c>
      <c r="D19" s="54" t="s">
        <v>17</v>
      </c>
      <c r="E19" s="55" t="s">
        <v>9</v>
      </c>
      <c r="F19" s="55"/>
    </row>
    <row r="20" spans="1:6">
      <c r="B20" s="27"/>
    </row>
    <row r="21" spans="1:6">
      <c r="B21" s="38"/>
    </row>
  </sheetData>
  <hyperlinks>
    <hyperlink ref="D2" r:id="rId1" xr:uid="{3475C9B7-1627-414D-A4AA-3C27203EAC65}"/>
    <hyperlink ref="D5" r:id="rId2" xr:uid="{E8269D36-6D87-430F-9C6C-0904B3B43972}"/>
    <hyperlink ref="D4" r:id="rId3" display="https://www.amazon.com/dp/B0BZJTQ5YP?utm_source=nvidia&amp;th=1" xr:uid="{83EA3F1E-7BFB-49CA-8434-4CA160194B6C}"/>
    <hyperlink ref="D3" r:id="rId4" xr:uid="{D8FB0BF5-7084-43DA-981F-81B41061F291}"/>
    <hyperlink ref="D6" r:id="rId5" xr:uid="{D419BC19-103F-49D7-8C5F-738CD90DA7A4}"/>
    <hyperlink ref="D8" r:id="rId6" xr:uid="{3C2DA9B4-F327-477C-BAEA-BF0D25A88209}"/>
    <hyperlink ref="D7" r:id="rId7" xr:uid="{9BDB3190-F6AE-40D7-969D-ABF4434055DF}"/>
    <hyperlink ref="D9" r:id="rId8" xr:uid="{F535F86A-D0F2-4535-8C0E-134A51E2F21F}"/>
    <hyperlink ref="D10" r:id="rId9" display="https://www.digikey.com/en/products/detail/susumu/PAT0510S-C-10DB-T10/948830" xr:uid="{82E86DF3-BCEE-4845-AB60-BEF431D8E0E9}"/>
    <hyperlink ref="D11" r:id="rId10" display="https://www.amazon.com/PATRIOT-P300-2280-256GB-PCIe/dp/B082BWY2C2/ref=sr_1_1_sspa?crid=37EZNLH16XZ9W&amp;dib=eyJ2IjoiMSJ9.P9qWNJCLVicUHw0v7xREjws8DlKMz_NjPoz2ACfFLsTE3f1xFVwZjl_zqYRrykDXvGmygkiv7fFgmjxegcllK3oZUkiXTLfudAZgj9eHb2PFbiPVcmw858YkwcoHcDSApGsKsx437KpZml5cm72tVaBe_IAxWCepVKi2tl8nxslvtQunwq6o_PoMXedqgZNbMIX42Z3LlI6bV6JTtdT1ei36dFDoxojGqh301qJiKL4nNE5A16nrY17d3Fp5bM2-Y7-ZBhDYGUc6c971Tv830MeBqEOuTLLeuNHYKVkHLrQ.42mh4hBpQugHREnSo3mpSqPGGi3xh36jXNE_xORB3Xs&amp;dib_tag=se&amp;keywords=nvme+ssd&amp;qid=1758216088&amp;s=electronics&amp;sprefix=nvme+ssd%2Celectronics%2C555&amp;sr=1-1-spons&amp;sp_csd=d2lkZ2V0TmFtZT1zcF9hdGY&amp;psc=1" xr:uid="{F4629E7B-3C87-4D25-9090-C1ABE9EF6578}"/>
    <hyperlink ref="D13" r:id="rId11" display="https://heltec.org/project/wifi-lora-32-v3/" xr:uid="{34A27204-6E94-4417-A7FD-D89F60B46A25}"/>
    <hyperlink ref="D15" r:id="rId12" display="https://www.amazon.com/Hiteuoms-2000mAh-Development-Protection-Insulated/dp/B0F37YXH7W/ref=sr_1_1_sspa?crid=15WCDGPOJMC0A&amp;dib=eyJ2IjoiMSJ9.vCGolfHplkz3dtoI_Mf1EM0SOloJYvNlfHhfSS5UMfQx1T6C8Awx_pNTY3HoAsnGu0jnOHmOBF_esqdMiIszyknZv2kBU3vDZedw3sHjUPU38pKkySD52390vWPYQ_sfEkkabFHDZwKgV1pqhNHuGjplVkwC863ehsHqhvdwps_UBjQs_gOFryCmBZUHsrd60y0M7AQGtEzztZVePccbfJLeWRM0pzVGUweDuBpUmx7CJUhtecF6PtQ2hp-AxUyS5muEd4m8uBEYPQsufjBiIMgLHGXAJLHvguGKgQRuguA.S3JpSmpknULFt3lZuw6SQDdn0_F6coLvL0D4p1CKh34&amp;dib_tag=se&amp;keywords=1s%2B3.7%2Blipo&amp;qid=1758217197&amp;s=electronics&amp;sprefix=1s%2B3.7%2Blipo%2Celectronics%2C129&amp;sr=1-1-spons&amp;sp_csd=d2lkZ2V0TmFtZT1zcF9hdGY&amp;th=1" xr:uid="{47A43174-9CAD-4060-A1CF-D7854D090CF5}"/>
    <hyperlink ref="D16" r:id="rId13" display="https://www.digikey.com/en/products/detail/sparkfun-electronics/18569/15652895" xr:uid="{1F94AF74-DC01-4D30-899D-649C56A1E2DE}"/>
    <hyperlink ref="D18" r:id="rId14" xr:uid="{3740FA32-309E-4BB1-82BE-23D3DB5F56B9}"/>
    <hyperlink ref="D14" r:id="rId15" display="https://www.getfpv.com/radiomaster-bandit-915mhz-t-antenna-rp-sma.html?gc_id=21805212387&amp;g_special_campaign=true&amp;gad_source=1&amp;gad_campaignid=21805212387&amp;gbraid=0AAAAAD8cN5KpEvW56Htkj5MoubPFV5jw7&amp;gclid=Cj0KCQjwrc7GBhCfARIsAHGcW5XTDBipXvHif6-BUV4LAkhAShcrDx-oRn3Z3GGNl6MRkMYRMvR2HMcaAqg5EALw_wcB" xr:uid="{A01BED77-6FE6-4069-B415-D0475B1BEDD3}"/>
    <hyperlink ref="D19" r:id="rId16" display="https://www.amazon.com/ANYCUBIC-Filament-Dimensional-Accuracy-Printers/dp/B0DHZN9KKB/ref=sr_1_1_sspa?dib=eyJ2IjoiMSJ9.1EBdk22Zo0I-pkHRAjCzFYfTQWFzuRO0182yOwhsRfsz_3G4DigsPiKioEcKAxSWLG3nDwzXVFuyKahqLs_vcabS7xPbvTLHUq6hFHl63tX0Vlikz-teZ_p565vxrvXaiS8-RJz-6cqZTDb2msyQuBX2nLHUmf9dn0NgUQJ-h-v5va6Ia_Y5lnxKb2cAK7Bd8Q2WYGhqRDkm7I3vWN-cNFznnyw2XcLmPTgv2QAvCw8.c6Cn2TvXoNAc3oi7ZumlKTBF6T7KDTOLRm9KzpuGMX8&amp;dib_tag=se&amp;keywords=PLA%2B+filament&amp;qid=1758767768&amp;sr=8-1-spons&amp;sp_csd=d2lkZ2V0TmFtZT1zcF9hdGY&amp;psc=1" xr:uid="{F037F8A7-31F5-4894-9973-D8BDF54FE1B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4F53D-FA0B-4263-AC7E-B203E6DCE554}">
  <sheetPr>
    <pageSetUpPr fitToPage="1"/>
  </sheetPr>
  <dimension ref="A1:F5"/>
  <sheetViews>
    <sheetView workbookViewId="0">
      <selection activeCell="C12" sqref="C12"/>
    </sheetView>
  </sheetViews>
  <sheetFormatPr defaultRowHeight="15" customHeight="1"/>
  <cols>
    <col min="1" max="1" width="21.140625" style="24" customWidth="1"/>
    <col min="2" max="2" width="35" style="24" customWidth="1"/>
    <col min="3" max="3" width="47.140625" style="24" customWidth="1"/>
    <col min="4" max="4" width="12.5703125" style="24" customWidth="1"/>
    <col min="5" max="5" width="55.85546875" style="24" customWidth="1"/>
    <col min="6" max="6" width="12.140625" style="24" customWidth="1"/>
  </cols>
  <sheetData>
    <row r="1" spans="1:6" s="1" customFormat="1" ht="42" customHeight="1">
      <c r="A1" s="16" t="s">
        <v>87</v>
      </c>
      <c r="B1" s="17" t="s">
        <v>88</v>
      </c>
      <c r="C1" s="17" t="s">
        <v>89</v>
      </c>
      <c r="D1" s="17" t="s">
        <v>90</v>
      </c>
      <c r="E1" s="17" t="s">
        <v>91</v>
      </c>
      <c r="F1" s="17" t="s">
        <v>92</v>
      </c>
    </row>
    <row r="2" spans="1:6" ht="38.25">
      <c r="A2" s="18" t="s">
        <v>93</v>
      </c>
      <c r="B2" s="18" t="s">
        <v>126</v>
      </c>
      <c r="C2" s="18" t="s">
        <v>127</v>
      </c>
      <c r="D2" s="6" t="s">
        <v>128</v>
      </c>
      <c r="E2" s="18" t="s">
        <v>129</v>
      </c>
      <c r="F2" s="19" t="s">
        <v>128</v>
      </c>
    </row>
    <row r="3" spans="1:6" ht="63.75">
      <c r="A3" s="20" t="s">
        <v>94</v>
      </c>
      <c r="B3" s="20" t="s">
        <v>130</v>
      </c>
      <c r="C3" s="21" t="s">
        <v>131</v>
      </c>
      <c r="D3" s="9">
        <v>6.5</v>
      </c>
      <c r="E3" s="20" t="s">
        <v>132</v>
      </c>
      <c r="F3" s="22" t="s">
        <v>133</v>
      </c>
    </row>
    <row r="4" spans="1:6" s="14" customFormat="1" ht="81" customHeight="1">
      <c r="A4" s="23" t="s">
        <v>87</v>
      </c>
      <c r="B4" s="23" t="s">
        <v>95</v>
      </c>
      <c r="C4" s="23" t="s">
        <v>96</v>
      </c>
      <c r="D4" s="23" t="s">
        <v>97</v>
      </c>
      <c r="E4" s="23" t="s">
        <v>98</v>
      </c>
      <c r="F4" s="23" t="s">
        <v>99</v>
      </c>
    </row>
    <row r="5" spans="1:6" ht="15" customHeight="1">
      <c r="B5" s="25"/>
    </row>
  </sheetData>
  <pageMargins left="0.7" right="0.7" top="0.75" bottom="0.75" header="0.3" footer="0.3"/>
  <pageSetup scale="6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8817C-8A68-4773-BAD2-13D4024D5072}">
  <dimension ref="A1:F4"/>
  <sheetViews>
    <sheetView workbookViewId="0">
      <selection activeCell="F2" sqref="F2"/>
    </sheetView>
  </sheetViews>
  <sheetFormatPr defaultRowHeight="14.25"/>
  <cols>
    <col min="1" max="1" width="18" bestFit="1" customWidth="1"/>
    <col min="2" max="2" width="42.140625" customWidth="1"/>
    <col min="3" max="3" width="52.42578125" customWidth="1"/>
    <col min="4" max="4" width="13.7109375" customWidth="1"/>
    <col min="5" max="5" width="54.7109375" customWidth="1"/>
    <col min="6" max="6" width="13.7109375" customWidth="1"/>
  </cols>
  <sheetData>
    <row r="1" spans="1:6" ht="39.4">
      <c r="A1" s="16" t="s">
        <v>87</v>
      </c>
      <c r="B1" s="17" t="s">
        <v>88</v>
      </c>
      <c r="C1" s="17" t="s">
        <v>89</v>
      </c>
      <c r="D1" s="17" t="s">
        <v>90</v>
      </c>
      <c r="E1" s="17" t="s">
        <v>91</v>
      </c>
      <c r="F1" s="17" t="s">
        <v>92</v>
      </c>
    </row>
    <row r="2" spans="1:6" ht="55.5" customHeight="1">
      <c r="A2" s="18" t="s">
        <v>93</v>
      </c>
      <c r="B2" s="18" t="s">
        <v>134</v>
      </c>
      <c r="C2" s="18" t="s">
        <v>135</v>
      </c>
      <c r="D2" s="6">
        <v>4</v>
      </c>
      <c r="E2" s="18" t="s">
        <v>136</v>
      </c>
      <c r="F2" s="19">
        <v>3.5</v>
      </c>
    </row>
    <row r="3" spans="1:6" ht="55.5" customHeight="1">
      <c r="A3" s="20" t="s">
        <v>94</v>
      </c>
      <c r="B3" s="20" t="s">
        <v>137</v>
      </c>
      <c r="C3" s="21" t="s">
        <v>138</v>
      </c>
      <c r="D3" s="9">
        <v>4</v>
      </c>
      <c r="E3" s="20" t="s">
        <v>139</v>
      </c>
      <c r="F3" s="22">
        <v>3.5</v>
      </c>
    </row>
    <row r="4" spans="1:6" ht="100.5" customHeight="1">
      <c r="A4" s="23" t="s">
        <v>87</v>
      </c>
      <c r="B4" s="23" t="s">
        <v>95</v>
      </c>
      <c r="C4" s="23" t="s">
        <v>96</v>
      </c>
      <c r="D4" s="23" t="s">
        <v>97</v>
      </c>
      <c r="E4" s="23" t="s">
        <v>98</v>
      </c>
      <c r="F4" s="23"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6362-6F88-4096-AA83-49091F8D64EC}">
  <dimension ref="A1:F7"/>
  <sheetViews>
    <sheetView workbookViewId="0">
      <selection activeCell="E2" sqref="E2"/>
    </sheetView>
  </sheetViews>
  <sheetFormatPr defaultRowHeight="14.25"/>
  <cols>
    <col min="1" max="1" width="23" customWidth="1"/>
    <col min="2" max="2" width="35" customWidth="1"/>
    <col min="3" max="3" width="49.28515625" customWidth="1"/>
    <col min="4" max="4" width="12.5703125" customWidth="1"/>
    <col min="5" max="5" width="55.85546875" customWidth="1"/>
    <col min="6" max="6" width="12.140625" customWidth="1"/>
  </cols>
  <sheetData>
    <row r="1" spans="1:6" ht="39.75">
      <c r="A1" s="2" t="s">
        <v>87</v>
      </c>
      <c r="B1" s="3" t="s">
        <v>88</v>
      </c>
      <c r="C1" s="4" t="s">
        <v>89</v>
      </c>
      <c r="D1" s="4" t="s">
        <v>90</v>
      </c>
      <c r="E1" s="4" t="s">
        <v>91</v>
      </c>
      <c r="F1" s="4" t="s">
        <v>92</v>
      </c>
    </row>
    <row r="2" spans="1:6" ht="63.75">
      <c r="A2" s="5" t="s">
        <v>93</v>
      </c>
      <c r="B2" s="11" t="s">
        <v>140</v>
      </c>
      <c r="C2" s="11" t="s">
        <v>141</v>
      </c>
      <c r="D2" s="6">
        <v>3</v>
      </c>
      <c r="E2" s="11" t="s">
        <v>142</v>
      </c>
      <c r="F2" s="7">
        <v>3</v>
      </c>
    </row>
    <row r="3" spans="1:6" ht="51">
      <c r="A3" s="8" t="s">
        <v>94</v>
      </c>
      <c r="B3" s="12" t="s">
        <v>143</v>
      </c>
      <c r="C3" s="13" t="s">
        <v>144</v>
      </c>
      <c r="D3" s="9">
        <v>3</v>
      </c>
      <c r="E3" s="12" t="s">
        <v>145</v>
      </c>
      <c r="F3" s="10">
        <v>3</v>
      </c>
    </row>
    <row r="4" spans="1:6" ht="71.25">
      <c r="A4" s="15" t="s">
        <v>87</v>
      </c>
      <c r="B4" s="15" t="s">
        <v>95</v>
      </c>
      <c r="C4" s="15" t="s">
        <v>96</v>
      </c>
      <c r="D4" s="15" t="s">
        <v>97</v>
      </c>
      <c r="E4" s="15" t="s">
        <v>98</v>
      </c>
      <c r="F4" s="15" t="s">
        <v>99</v>
      </c>
    </row>
    <row r="5" spans="1:6">
      <c r="B5" s="1"/>
    </row>
    <row r="6" spans="1:6">
      <c r="B6" s="135" t="s">
        <v>146</v>
      </c>
      <c r="C6" s="135"/>
    </row>
    <row r="7" spans="1:6">
      <c r="B7" s="135" t="s">
        <v>147</v>
      </c>
      <c r="C7" s="135"/>
    </row>
  </sheetData>
  <mergeCells count="2">
    <mergeCell ref="B6:C6"/>
    <mergeCell ref="B7:C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43163-AAF7-4D3E-90F2-6F06B8F5E592}">
  <dimension ref="A1:F4"/>
  <sheetViews>
    <sheetView workbookViewId="0">
      <selection activeCell="E5" sqref="E5"/>
    </sheetView>
  </sheetViews>
  <sheetFormatPr defaultColWidth="9.140625" defaultRowHeight="14.25"/>
  <cols>
    <col min="1" max="1" width="24" style="101" customWidth="1"/>
    <col min="2" max="2" width="27.85546875" style="101" customWidth="1"/>
    <col min="3" max="3" width="43.140625" style="101" customWidth="1"/>
    <col min="4" max="4" width="10.85546875" style="101" customWidth="1"/>
    <col min="5" max="5" width="51.5703125" style="101" customWidth="1"/>
    <col min="6" max="6" width="21" style="101" customWidth="1"/>
    <col min="7" max="16384" width="9.140625" style="101"/>
  </cols>
  <sheetData>
    <row r="1" spans="1:6" ht="55.5" customHeight="1">
      <c r="A1" s="113" t="s">
        <v>87</v>
      </c>
      <c r="B1" s="114" t="s">
        <v>88</v>
      </c>
      <c r="C1" s="114" t="s">
        <v>89</v>
      </c>
      <c r="D1" s="114" t="s">
        <v>90</v>
      </c>
      <c r="E1" s="114" t="s">
        <v>91</v>
      </c>
      <c r="F1" s="119" t="s">
        <v>92</v>
      </c>
    </row>
    <row r="2" spans="1:6" ht="32.25" customHeight="1">
      <c r="A2" s="115" t="s">
        <v>93</v>
      </c>
      <c r="B2" s="136" t="s">
        <v>148</v>
      </c>
      <c r="C2" s="115" t="s">
        <v>149</v>
      </c>
      <c r="D2" s="115">
        <v>5</v>
      </c>
      <c r="E2" s="115" t="s">
        <v>150</v>
      </c>
      <c r="F2" s="137">
        <v>5</v>
      </c>
    </row>
    <row r="3" spans="1:6" ht="57" customHeight="1">
      <c r="A3" s="116" t="s">
        <v>94</v>
      </c>
      <c r="B3" s="116" t="s">
        <v>148</v>
      </c>
      <c r="C3" s="116" t="s">
        <v>151</v>
      </c>
      <c r="D3" s="117">
        <v>3</v>
      </c>
      <c r="E3" s="116" t="s">
        <v>152</v>
      </c>
      <c r="F3" s="138">
        <v>4</v>
      </c>
    </row>
    <row r="4" spans="1:6" ht="85.5">
      <c r="A4" s="118" t="s">
        <v>87</v>
      </c>
      <c r="B4" s="118" t="s">
        <v>95</v>
      </c>
      <c r="C4" s="118" t="s">
        <v>96</v>
      </c>
      <c r="D4" s="118" t="s">
        <v>97</v>
      </c>
      <c r="E4" s="118" t="s">
        <v>98</v>
      </c>
      <c r="F4" s="120" t="s">
        <v>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C6903-D662-411B-B991-8019A043202F}">
  <dimension ref="A1:F4"/>
  <sheetViews>
    <sheetView workbookViewId="0">
      <selection activeCell="E3" sqref="E3"/>
    </sheetView>
  </sheetViews>
  <sheetFormatPr defaultColWidth="9.140625" defaultRowHeight="14.25"/>
  <cols>
    <col min="1" max="1" width="24" style="101" customWidth="1"/>
    <col min="2" max="2" width="27.85546875" style="101" customWidth="1"/>
    <col min="3" max="3" width="43.140625" style="101" customWidth="1"/>
    <col min="4" max="4" width="10.85546875" style="101" customWidth="1"/>
    <col min="5" max="5" width="51.5703125" style="101" customWidth="1"/>
    <col min="6" max="6" width="21" style="101" customWidth="1"/>
    <col min="7" max="16384" width="9.140625" style="101"/>
  </cols>
  <sheetData>
    <row r="1" spans="1:6" ht="55.5" customHeight="1">
      <c r="A1" s="113" t="s">
        <v>87</v>
      </c>
      <c r="B1" s="114" t="s">
        <v>88</v>
      </c>
      <c r="C1" s="114" t="s">
        <v>89</v>
      </c>
      <c r="D1" s="114" t="s">
        <v>90</v>
      </c>
      <c r="E1" s="114" t="s">
        <v>91</v>
      </c>
      <c r="F1" s="119" t="s">
        <v>92</v>
      </c>
    </row>
    <row r="2" spans="1:6" ht="65.650000000000006">
      <c r="A2" s="115" t="s">
        <v>93</v>
      </c>
      <c r="B2" s="136" t="s">
        <v>153</v>
      </c>
      <c r="C2" s="115" t="s">
        <v>154</v>
      </c>
      <c r="D2" s="121">
        <v>4</v>
      </c>
      <c r="E2" s="115" t="s">
        <v>155</v>
      </c>
      <c r="F2" s="137">
        <v>5</v>
      </c>
    </row>
    <row r="3" spans="1:6" ht="65.650000000000006">
      <c r="A3" s="116" t="s">
        <v>94</v>
      </c>
      <c r="B3" s="116" t="s">
        <v>148</v>
      </c>
      <c r="C3" s="116" t="s">
        <v>156</v>
      </c>
      <c r="D3" s="117">
        <v>4</v>
      </c>
      <c r="E3" s="116" t="s">
        <v>157</v>
      </c>
      <c r="F3" s="138">
        <v>4</v>
      </c>
    </row>
    <row r="4" spans="1:6" ht="85.5">
      <c r="A4" s="118" t="s">
        <v>87</v>
      </c>
      <c r="B4" s="118" t="s">
        <v>95</v>
      </c>
      <c r="C4" s="118" t="s">
        <v>96</v>
      </c>
      <c r="D4" s="118" t="s">
        <v>97</v>
      </c>
      <c r="E4" s="118" t="s">
        <v>98</v>
      </c>
      <c r="F4" s="120" t="s">
        <v>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C6555-1ACE-41F0-B4E0-B3EE9767C6FA}">
  <dimension ref="A1:F4"/>
  <sheetViews>
    <sheetView workbookViewId="0">
      <selection activeCell="E4" sqref="E4"/>
    </sheetView>
  </sheetViews>
  <sheetFormatPr defaultColWidth="9.140625" defaultRowHeight="14.25"/>
  <cols>
    <col min="1" max="1" width="24" style="101" customWidth="1"/>
    <col min="2" max="2" width="27.85546875" style="101" customWidth="1"/>
    <col min="3" max="3" width="43.140625" style="101" customWidth="1"/>
    <col min="4" max="4" width="10.85546875" style="101" customWidth="1"/>
    <col min="5" max="5" width="51.5703125" style="101" customWidth="1"/>
    <col min="6" max="6" width="21" style="101" customWidth="1"/>
    <col min="7" max="16384" width="9.140625" style="101"/>
  </cols>
  <sheetData>
    <row r="1" spans="1:6" ht="55.5" customHeight="1">
      <c r="A1" s="113" t="s">
        <v>87</v>
      </c>
      <c r="B1" s="114" t="s">
        <v>88</v>
      </c>
      <c r="C1" s="114" t="s">
        <v>89</v>
      </c>
      <c r="D1" s="114" t="s">
        <v>90</v>
      </c>
      <c r="E1" s="114" t="s">
        <v>91</v>
      </c>
      <c r="F1" s="119" t="s">
        <v>92</v>
      </c>
    </row>
    <row r="2" spans="1:6" ht="78.75">
      <c r="A2" s="115" t="s">
        <v>93</v>
      </c>
      <c r="B2" s="136" t="s">
        <v>158</v>
      </c>
      <c r="C2" s="115" t="s">
        <v>159</v>
      </c>
      <c r="D2" s="121">
        <v>4</v>
      </c>
      <c r="E2" s="115" t="s">
        <v>160</v>
      </c>
      <c r="F2" s="137">
        <v>4</v>
      </c>
    </row>
    <row r="3" spans="1:6" ht="57" customHeight="1">
      <c r="A3" s="116" t="s">
        <v>94</v>
      </c>
      <c r="B3" s="116" t="s">
        <v>158</v>
      </c>
      <c r="C3" s="116" t="s">
        <v>161</v>
      </c>
      <c r="D3" s="117">
        <v>4</v>
      </c>
      <c r="E3" s="122" t="s">
        <v>162</v>
      </c>
      <c r="F3" s="138">
        <v>3</v>
      </c>
    </row>
    <row r="4" spans="1:6" ht="85.5">
      <c r="A4" s="118" t="s">
        <v>87</v>
      </c>
      <c r="B4" s="118" t="s">
        <v>95</v>
      </c>
      <c r="C4" s="118" t="s">
        <v>96</v>
      </c>
      <c r="D4" s="118" t="s">
        <v>97</v>
      </c>
      <c r="E4" s="118" t="s">
        <v>98</v>
      </c>
      <c r="F4" s="120" t="s">
        <v>99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6CD73-5938-4F84-9045-412CC07E5218}">
  <dimension ref="A1:F4"/>
  <sheetViews>
    <sheetView workbookViewId="0">
      <selection activeCell="F4" sqref="A1:F4"/>
    </sheetView>
  </sheetViews>
  <sheetFormatPr defaultColWidth="9.140625" defaultRowHeight="14.25"/>
  <cols>
    <col min="1" max="1" width="24" style="101" customWidth="1"/>
    <col min="2" max="2" width="27.85546875" style="101" customWidth="1"/>
    <col min="3" max="3" width="43.140625" style="101" customWidth="1"/>
    <col min="4" max="4" width="10.85546875" style="101" customWidth="1"/>
    <col min="5" max="5" width="51.5703125" style="101" customWidth="1"/>
    <col min="6" max="6" width="21" style="101" customWidth="1"/>
    <col min="7" max="16384" width="9.140625" style="101"/>
  </cols>
  <sheetData>
    <row r="1" spans="1:6" ht="55.5" customHeight="1">
      <c r="A1" s="113" t="s">
        <v>87</v>
      </c>
      <c r="B1" s="114" t="s">
        <v>88</v>
      </c>
      <c r="C1" s="114" t="s">
        <v>89</v>
      </c>
      <c r="D1" s="114" t="s">
        <v>90</v>
      </c>
      <c r="E1" s="114" t="s">
        <v>91</v>
      </c>
      <c r="F1" s="119" t="s">
        <v>92</v>
      </c>
    </row>
    <row r="2" spans="1:6" ht="39.4">
      <c r="A2" s="115" t="s">
        <v>93</v>
      </c>
      <c r="B2" s="136" t="s">
        <v>163</v>
      </c>
      <c r="C2" s="115" t="s">
        <v>164</v>
      </c>
      <c r="D2" s="121">
        <v>4</v>
      </c>
      <c r="E2" s="115" t="s">
        <v>165</v>
      </c>
      <c r="F2" s="137">
        <v>4</v>
      </c>
    </row>
    <row r="3" spans="1:6" ht="57" customHeight="1">
      <c r="A3" s="116" t="s">
        <v>94</v>
      </c>
      <c r="B3" s="122" t="s">
        <v>166</v>
      </c>
      <c r="C3" s="122" t="s">
        <v>167</v>
      </c>
      <c r="D3" s="117">
        <v>5</v>
      </c>
      <c r="E3" s="116" t="s">
        <v>168</v>
      </c>
      <c r="F3" s="138">
        <v>2</v>
      </c>
    </row>
    <row r="4" spans="1:6" ht="85.5">
      <c r="A4" s="118" t="s">
        <v>87</v>
      </c>
      <c r="B4" s="118" t="s">
        <v>95</v>
      </c>
      <c r="C4" s="118" t="s">
        <v>96</v>
      </c>
      <c r="D4" s="118" t="s">
        <v>97</v>
      </c>
      <c r="E4" s="118" t="s">
        <v>98</v>
      </c>
      <c r="F4" s="120" t="s">
        <v>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8AB80-637A-4077-9A78-D4C68D7D1954}">
  <dimension ref="A1:F5"/>
  <sheetViews>
    <sheetView tabSelected="1" workbookViewId="0">
      <selection activeCell="F4" sqref="F4"/>
    </sheetView>
  </sheetViews>
  <sheetFormatPr defaultRowHeight="15"/>
  <cols>
    <col min="1" max="1" width="18" bestFit="1" customWidth="1"/>
    <col min="2" max="2" width="56.85546875" customWidth="1"/>
    <col min="3" max="3" width="39" customWidth="1"/>
    <col min="4" max="4" width="18" customWidth="1"/>
    <col min="5" max="5" width="51.85546875" customWidth="1"/>
    <col min="6" max="6" width="12.42578125" customWidth="1"/>
  </cols>
  <sheetData>
    <row r="1" spans="1:6" ht="48">
      <c r="A1" s="2" t="s">
        <v>87</v>
      </c>
      <c r="B1" s="3" t="s">
        <v>88</v>
      </c>
      <c r="C1" s="4" t="s">
        <v>89</v>
      </c>
      <c r="D1" s="4" t="s">
        <v>90</v>
      </c>
      <c r="E1" s="4" t="s">
        <v>91</v>
      </c>
      <c r="F1" s="4" t="s">
        <v>92</v>
      </c>
    </row>
    <row r="2" spans="1:6" ht="23.25">
      <c r="A2" s="124" t="s">
        <v>93</v>
      </c>
      <c r="B2" s="124"/>
      <c r="C2" s="11"/>
      <c r="D2" s="6"/>
      <c r="E2" s="123" t="s">
        <v>169</v>
      </c>
      <c r="F2" s="7"/>
    </row>
    <row r="3" spans="1:6" ht="84">
      <c r="A3" s="125" t="s">
        <v>94</v>
      </c>
      <c r="B3" s="125" t="s">
        <v>170</v>
      </c>
      <c r="C3" s="13" t="s">
        <v>171</v>
      </c>
      <c r="D3" s="9"/>
      <c r="E3" s="12" t="s">
        <v>172</v>
      </c>
      <c r="F3" s="10">
        <v>6</v>
      </c>
    </row>
    <row r="4" spans="1:6" ht="60.75">
      <c r="A4" s="15" t="s">
        <v>87</v>
      </c>
      <c r="B4" s="15" t="s">
        <v>95</v>
      </c>
      <c r="C4" s="15" t="s">
        <v>96</v>
      </c>
      <c r="D4" s="15" t="s">
        <v>97</v>
      </c>
      <c r="E4" s="15" t="s">
        <v>98</v>
      </c>
      <c r="F4" s="15" t="s">
        <v>99</v>
      </c>
    </row>
    <row r="5" spans="1:6">
      <c r="B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lotz</dc:creator>
  <cp:keywords/>
  <dc:description/>
  <cp:lastModifiedBy/>
  <cp:revision/>
  <dcterms:created xsi:type="dcterms:W3CDTF">2023-02-20T21:36:22Z</dcterms:created>
  <dcterms:modified xsi:type="dcterms:W3CDTF">2025-11-13T23:20:29Z</dcterms:modified>
  <cp:category/>
  <cp:contentStatus/>
</cp:coreProperties>
</file>